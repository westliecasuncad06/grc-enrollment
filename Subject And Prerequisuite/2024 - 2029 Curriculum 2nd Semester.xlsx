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E" sheetId="1" r:id="rId5"/>
    <sheet state="visible" name="CBAE" sheetId="2" r:id="rId6"/>
    <sheet state="visible" name="COA" sheetId="3" r:id="rId7"/>
    <sheet state="visible" name="CCS" sheetId="4" r:id="rId8"/>
  </sheets>
  <definedNames/>
  <calcPr/>
</workbook>
</file>

<file path=xl/sharedStrings.xml><?xml version="1.0" encoding="utf-8"?>
<sst xmlns="http://schemas.openxmlformats.org/spreadsheetml/2006/main" count="7440" uniqueCount="1679">
  <si>
    <t>SECTION</t>
  </si>
  <si>
    <t>SUBJECT CODE</t>
  </si>
  <si>
    <t>DESCRIPTION</t>
  </si>
  <si>
    <t>SCHED ID</t>
  </si>
  <si>
    <t>DAY</t>
  </si>
  <si>
    <t>TIME</t>
  </si>
  <si>
    <t>UNIT</t>
  </si>
  <si>
    <t>ROOM</t>
  </si>
  <si>
    <t>Name of Faculty</t>
  </si>
  <si>
    <t>Google Classroom Code(Use GRC Google Account)</t>
  </si>
  <si>
    <t>Remarks on Changes, If Any (PH)</t>
  </si>
  <si>
    <t>ACC 101</t>
  </si>
  <si>
    <t>CONFRAST</t>
  </si>
  <si>
    <t>CONCEPTUAL FRAMEWORK AND STANDARD</t>
  </si>
  <si>
    <t>ELEM101</t>
  </si>
  <si>
    <t>THURS</t>
  </si>
  <si>
    <t>6:00PM - 9:00PM</t>
  </si>
  <si>
    <t>FM 101</t>
  </si>
  <si>
    <t xml:space="preserve"> </t>
  </si>
  <si>
    <t>3E</t>
  </si>
  <si>
    <t>Roderick R. Ronidel</t>
  </si>
  <si>
    <t>nqui2vye</t>
  </si>
  <si>
    <t>COSTACC</t>
  </si>
  <si>
    <t>COST ACCOUNTING AND CONTROL</t>
  </si>
  <si>
    <t>FRI</t>
  </si>
  <si>
    <t>6:00 P.M to 9:00 P.M</t>
  </si>
  <si>
    <t>Richard Barbin</t>
  </si>
  <si>
    <t>MODALITY</t>
  </si>
  <si>
    <t>j7bbmax2</t>
  </si>
  <si>
    <t>ECODEV</t>
  </si>
  <si>
    <t>ECONOMIC DEVELOPMENT</t>
  </si>
  <si>
    <t>TUES</t>
  </si>
  <si>
    <t>1:30-4:30PM</t>
  </si>
  <si>
    <t>CALLP</t>
  </si>
  <si>
    <t>The Child and Adolescent Learner and Learning Principles</t>
  </si>
  <si>
    <t>Mon</t>
  </si>
  <si>
    <t>7:30 - 10:30</t>
  </si>
  <si>
    <t>ETHICS</t>
  </si>
  <si>
    <t>5G</t>
  </si>
  <si>
    <t>Dr. A. Manalo</t>
  </si>
  <si>
    <t>txc3nfnt</t>
  </si>
  <si>
    <t>R. LIM</t>
  </si>
  <si>
    <t>IT 101</t>
  </si>
  <si>
    <t>cr342z7m</t>
  </si>
  <si>
    <t>3:00-6:00</t>
  </si>
  <si>
    <t>CONWRLD</t>
  </si>
  <si>
    <t>The Contemporary World</t>
  </si>
  <si>
    <t>INTACC1</t>
  </si>
  <si>
    <t>6:00-9:00</t>
  </si>
  <si>
    <t>4E</t>
  </si>
  <si>
    <t>INTERMEDIATE ACCOUNTING 1</t>
  </si>
  <si>
    <t>5D</t>
  </si>
  <si>
    <t>BIBAL, NEIL, F.</t>
  </si>
  <si>
    <t>Mr. Lei</t>
  </si>
  <si>
    <t>SAT</t>
  </si>
  <si>
    <t>7:30 A.M. to 10:30 A.M. and 11:30 A.M. to 2:30 P.M.</t>
  </si>
  <si>
    <t>q7j2q5sc</t>
  </si>
  <si>
    <t>hhbbwv6d</t>
  </si>
  <si>
    <t>2A</t>
  </si>
  <si>
    <t>Rafael Barbin</t>
  </si>
  <si>
    <t>kfsrvpdt</t>
  </si>
  <si>
    <t>FILDIS</t>
  </si>
  <si>
    <t>Filipino sa Iba't-ibang Disiplina</t>
  </si>
  <si>
    <t>12:00-3:00</t>
  </si>
  <si>
    <t>3G</t>
  </si>
  <si>
    <t>Ms. R. Dela Pena</t>
  </si>
  <si>
    <t>LEAD 2</t>
  </si>
  <si>
    <t>syiwlcg6</t>
  </si>
  <si>
    <t>Leadership 2</t>
  </si>
  <si>
    <t>1:30 - 3:00 PM</t>
  </si>
  <si>
    <t>COACH JUVELYN</t>
  </si>
  <si>
    <t>WED</t>
  </si>
  <si>
    <t>03:00 PM-04:30 PM</t>
  </si>
  <si>
    <t>6zdrzqbp</t>
  </si>
  <si>
    <t>5E</t>
  </si>
  <si>
    <t>Coach Mariel</t>
  </si>
  <si>
    <t>7yrzzcrg</t>
  </si>
  <si>
    <t>MENDIOLA</t>
  </si>
  <si>
    <t xml:space="preserve">elgnx3wr
</t>
  </si>
  <si>
    <t>MATHWRLD</t>
  </si>
  <si>
    <t>Mathematics in the Modern World</t>
  </si>
  <si>
    <t>THU</t>
  </si>
  <si>
    <t>5:00 PM - 8:00 PM</t>
  </si>
  <si>
    <t>MON</t>
  </si>
  <si>
    <t>Mon,Fri</t>
  </si>
  <si>
    <t>1:30-4:30</t>
  </si>
  <si>
    <t>1:30-3:00/4:30-6:00</t>
  </si>
  <si>
    <t>5G/4B</t>
  </si>
  <si>
    <t>Mark Anthony Soriano</t>
  </si>
  <si>
    <t>hfwvq4iv</t>
  </si>
  <si>
    <t>5F</t>
  </si>
  <si>
    <t>RICKY AMPARADO</t>
  </si>
  <si>
    <t>yjhwx2uk</t>
  </si>
  <si>
    <t>F2F</t>
  </si>
  <si>
    <t>NSTP 2</t>
  </si>
  <si>
    <t>National Service Training Program 2</t>
  </si>
  <si>
    <t>Sat</t>
  </si>
  <si>
    <t>04:30 PM-07:30 PM</t>
  </si>
  <si>
    <t>MS. GALLEN</t>
  </si>
  <si>
    <t>SCI LAB</t>
  </si>
  <si>
    <t>1:30-3:00</t>
  </si>
  <si>
    <t>Samuel Cubacub</t>
  </si>
  <si>
    <t>gcw3em53</t>
  </si>
  <si>
    <t>cvhc2o77</t>
  </si>
  <si>
    <t>COACH MARIEL</t>
  </si>
  <si>
    <t>bvrptwd5</t>
  </si>
  <si>
    <t>3:00pm-6:00pm</t>
  </si>
  <si>
    <t>PATHFIT2</t>
  </si>
  <si>
    <t>Exercise-Based Course</t>
  </si>
  <si>
    <t>4:30-6:30</t>
  </si>
  <si>
    <t>Gezzle Marter</t>
  </si>
  <si>
    <t>PE ROOM</t>
  </si>
  <si>
    <t>obpw532z</t>
  </si>
  <si>
    <t>Ethics</t>
  </si>
  <si>
    <t>Ms. Portiles</t>
  </si>
  <si>
    <t>psosp36t</t>
  </si>
  <si>
    <t>MANACC</t>
  </si>
  <si>
    <t>Managerial Accounting</t>
  </si>
  <si>
    <t>10:30 AM - 1:30 PM</t>
  </si>
  <si>
    <t>PSPEAK</t>
  </si>
  <si>
    <t>Public Speaking</t>
  </si>
  <si>
    <t>12:00-3PM</t>
  </si>
  <si>
    <t>OBLICON</t>
  </si>
  <si>
    <t>LAW ON OBLIGATION AND CONTRACTS</t>
  </si>
  <si>
    <t>10:30-1:30</t>
  </si>
  <si>
    <t>LIM, RON LOUIE</t>
  </si>
  <si>
    <t>Joy B. Badilla</t>
  </si>
  <si>
    <t>fswob4ml</t>
  </si>
  <si>
    <t>5ck5t75b</t>
  </si>
  <si>
    <t>7:30AM to 10:30 AM</t>
  </si>
  <si>
    <t>MS. ALARIAO</t>
  </si>
  <si>
    <t>jfohqidp</t>
  </si>
  <si>
    <t>ATTY. LEANDRO TULOD</t>
  </si>
  <si>
    <t>vqfezonf</t>
  </si>
  <si>
    <t>RIZAL</t>
  </si>
  <si>
    <t>Rizal's Life &amp; Works</t>
  </si>
  <si>
    <t>MATHINV</t>
  </si>
  <si>
    <t>Math of Investment</t>
  </si>
  <si>
    <t>Mr. H. Corrales</t>
  </si>
  <si>
    <t>m46tjlvw</t>
  </si>
  <si>
    <t>HCIL</t>
  </si>
  <si>
    <t>Intro to Human Computer Interaction LAB</t>
  </si>
  <si>
    <t xml:space="preserve"> TRAVILLA, RONALD</t>
  </si>
  <si>
    <t>SCITECH</t>
  </si>
  <si>
    <t>Science, Technology, and Society</t>
  </si>
  <si>
    <t>TUE</t>
  </si>
  <si>
    <t>fu2diq2j</t>
  </si>
  <si>
    <t>5:00PM to 7:00PM</t>
  </si>
  <si>
    <t>SCIE LAB</t>
  </si>
  <si>
    <t>STUDY HALL</t>
  </si>
  <si>
    <t>mnwr3pxe</t>
  </si>
  <si>
    <t>LAB2</t>
  </si>
  <si>
    <t>RODOLFO P. LORETO</t>
  </si>
  <si>
    <t>ns4b6lnh</t>
  </si>
  <si>
    <t>HYFLEX B</t>
  </si>
  <si>
    <t>MICECO</t>
  </si>
  <si>
    <t>Basic Microeconomics</t>
  </si>
  <si>
    <t>VISART</t>
  </si>
  <si>
    <t>Reading Visual Art</t>
  </si>
  <si>
    <t>MR. MACINAS</t>
  </si>
  <si>
    <t>9:00-12:00</t>
  </si>
  <si>
    <t>kapfnmo4</t>
  </si>
  <si>
    <t>Ms. Cuadra</t>
  </si>
  <si>
    <t>CANAY,TEODORO</t>
  </si>
  <si>
    <t xml:space="preserve"> 4kpukfuy</t>
  </si>
  <si>
    <t>PURPCOMM</t>
  </si>
  <si>
    <t>Purposive Communication</t>
  </si>
  <si>
    <t>********NOTHING FOLLOWS********</t>
  </si>
  <si>
    <t>4gw63zp2</t>
  </si>
  <si>
    <t>HCI</t>
  </si>
  <si>
    <t>Intro to Human Computer Interaction LEC</t>
  </si>
  <si>
    <t>9:30-12:30</t>
  </si>
  <si>
    <t>CABACUB,SAM</t>
  </si>
  <si>
    <t>12:00 PM - 2:00 PM</t>
  </si>
  <si>
    <t>SOSLIT</t>
  </si>
  <si>
    <t>ONLINE</t>
  </si>
  <si>
    <t>Sosyedad at Literatura</t>
  </si>
  <si>
    <t>7:30 A.M to 10:30A.M</t>
  </si>
  <si>
    <t>P.FIN</t>
  </si>
  <si>
    <t>PRINCIPLES OF FINANCE</t>
  </si>
  <si>
    <t>VIVIAN C. ACOSTA</t>
  </si>
  <si>
    <t xml:space="preserve">ai3lxu3x
</t>
  </si>
  <si>
    <t>E.DELA CRUZ</t>
  </si>
  <si>
    <t>ITPLUS3</t>
  </si>
  <si>
    <t>6yettfnl</t>
  </si>
  <si>
    <t>Office Productivity Tools LAB</t>
  </si>
  <si>
    <t>7:30 AM - 10:30 AM</t>
  </si>
  <si>
    <t>LAB1</t>
  </si>
  <si>
    <t>HYFLEX A</t>
  </si>
  <si>
    <t>7:30-9:30</t>
  </si>
  <si>
    <t>MR. LEI</t>
  </si>
  <si>
    <t>gxvxe72z</t>
  </si>
  <si>
    <t>GABUYA</t>
  </si>
  <si>
    <t>ELEM102</t>
  </si>
  <si>
    <t>s6c35ogd</t>
  </si>
  <si>
    <t>ITPLUS4</t>
  </si>
  <si>
    <t>Computer Graphics LAB</t>
  </si>
  <si>
    <t>LAB3</t>
  </si>
  <si>
    <t>MR. UMALI</t>
  </si>
  <si>
    <t>mppxkwtu</t>
  </si>
  <si>
    <t>LEAD2</t>
  </si>
  <si>
    <t>ACC 102</t>
  </si>
  <si>
    <t>Personal Development</t>
  </si>
  <si>
    <t>10:30 AM - 12:00 PM</t>
  </si>
  <si>
    <t>06:00 PM-09:00 PM</t>
  </si>
  <si>
    <t>4G</t>
  </si>
  <si>
    <t>3B</t>
  </si>
  <si>
    <t>Dr. Jennifer F Tan</t>
  </si>
  <si>
    <t>7ewcpkn</t>
  </si>
  <si>
    <t xml:space="preserve">2uqqqvhm
</t>
  </si>
  <si>
    <t xml:space="preserve">ROOM </t>
  </si>
  <si>
    <t>NSTP2</t>
  </si>
  <si>
    <t>Reymond S. Cuison</t>
  </si>
  <si>
    <t>wxilafkj</t>
  </si>
  <si>
    <t>11:00 AM - 2:00 PM</t>
  </si>
  <si>
    <t>3A</t>
  </si>
  <si>
    <t>FM 102</t>
  </si>
  <si>
    <t>THUR</t>
  </si>
  <si>
    <t>4r32tym3</t>
  </si>
  <si>
    <t>4F</t>
  </si>
  <si>
    <t>Ms. Calangian</t>
  </si>
  <si>
    <t>enms5jwr</t>
  </si>
  <si>
    <t>tdwrvwoh</t>
  </si>
  <si>
    <t>Exercised-Based Course</t>
  </si>
  <si>
    <t>9:00 AM - 11:00 AM</t>
  </si>
  <si>
    <t>PE-ROOM</t>
  </si>
  <si>
    <t>Wed</t>
  </si>
  <si>
    <t>4H</t>
  </si>
  <si>
    <t>MR. SALAZAR</t>
  </si>
  <si>
    <t xml:space="preserve">tmdxpqb6
</t>
  </si>
  <si>
    <t>vh4say3d</t>
  </si>
  <si>
    <t>3:00 PM to 6:00 PM</t>
  </si>
  <si>
    <t>4C</t>
  </si>
  <si>
    <t>Ronald Ramos</t>
  </si>
  <si>
    <t>4epp54va</t>
  </si>
  <si>
    <t>RICKY R. AMPARADO</t>
  </si>
  <si>
    <t>PROG1L</t>
  </si>
  <si>
    <t>vxk3an6g</t>
  </si>
  <si>
    <t>Computer Programming 1 LAB</t>
  </si>
  <si>
    <t>4A</t>
  </si>
  <si>
    <t>7:30-10:30AM</t>
  </si>
  <si>
    <t>LOPEZ,ARLANJOSEPH(NEW)</t>
  </si>
  <si>
    <t>3F</t>
  </si>
  <si>
    <t>MR. TANAEL</t>
  </si>
  <si>
    <t>4i6vgoyu</t>
  </si>
  <si>
    <t>cjjahmnc</t>
  </si>
  <si>
    <t>2a3biwof</t>
  </si>
  <si>
    <t>2:00-4:00</t>
  </si>
  <si>
    <t>Cressida C. Montebon</t>
  </si>
  <si>
    <t>3:00-600</t>
  </si>
  <si>
    <t>jv3adz3t</t>
  </si>
  <si>
    <t>PROG1</t>
  </si>
  <si>
    <t>Computer Programming 1 LEC</t>
  </si>
  <si>
    <t>CABRAL</t>
  </si>
  <si>
    <t>65ec7rmc</t>
  </si>
  <si>
    <t>4:30-7:30</t>
  </si>
  <si>
    <t>as6zzcx7</t>
  </si>
  <si>
    <t>3:00 PM - 5:00 PM</t>
  </si>
  <si>
    <t>3D</t>
  </si>
  <si>
    <t>pfwsiwec</t>
  </si>
  <si>
    <t>Tue. 4:30-7:30</t>
  </si>
  <si>
    <t>7:30-10:30</t>
  </si>
  <si>
    <t>9:30-11:00</t>
  </si>
  <si>
    <t>9:00AM TO 10:30AM</t>
  </si>
  <si>
    <t>Ms. Abubo</t>
  </si>
  <si>
    <t>nhkpgufe</t>
  </si>
  <si>
    <t>COACH. JUVELYN</t>
  </si>
  <si>
    <t>h4jkpo5g</t>
  </si>
  <si>
    <t>aov4xqpl</t>
  </si>
  <si>
    <t>FROM THU. 9:30:11:00 TO 10:30-12:00</t>
  </si>
  <si>
    <t>Jaspher John O. Delgado</t>
  </si>
  <si>
    <t>2:00 PM - 5:00 PM</t>
  </si>
  <si>
    <t>qjpbwys</t>
  </si>
  <si>
    <t>3:00-6:00PM</t>
  </si>
  <si>
    <t>zshgebtu</t>
  </si>
  <si>
    <t>vmzkyew4</t>
  </si>
  <si>
    <t>TUES/Fri</t>
  </si>
  <si>
    <t>4:30-6:00</t>
  </si>
  <si>
    <t>7i2jrqzb</t>
  </si>
  <si>
    <t>j3z6jpuv</t>
  </si>
  <si>
    <t>53qpc5xd</t>
  </si>
  <si>
    <t>5A</t>
  </si>
  <si>
    <t>1:30pm-4:30pm</t>
  </si>
  <si>
    <t>MS. DE ASIS</t>
  </si>
  <si>
    <t>cr72u3k2</t>
  </si>
  <si>
    <t>7lajr2yc</t>
  </si>
  <si>
    <t>6:00 PM to 9:00PM</t>
  </si>
  <si>
    <t>7grrfznv</t>
  </si>
  <si>
    <t>ELEM103</t>
  </si>
  <si>
    <t>10:30am-12:30pm</t>
  </si>
  <si>
    <t>8:00-11:00</t>
  </si>
  <si>
    <t>ROOM PE</t>
  </si>
  <si>
    <t>Vevencio M. Gabuya</t>
  </si>
  <si>
    <t xml:space="preserve">fv277sjp
</t>
  </si>
  <si>
    <t>Tue</t>
  </si>
  <si>
    <t>5f</t>
  </si>
  <si>
    <t>Dr. D. Baraquiel</t>
  </si>
  <si>
    <t>lbam3v5c</t>
  </si>
  <si>
    <t>xcjqfq7p</t>
  </si>
  <si>
    <t>fri</t>
  </si>
  <si>
    <t>3h</t>
  </si>
  <si>
    <t>BRIOLA,JOSEPH(NEW)</t>
  </si>
  <si>
    <t>CORRALES, JAN HENRY N.</t>
  </si>
  <si>
    <t>IT 102</t>
  </si>
  <si>
    <t>5urlnrqh</t>
  </si>
  <si>
    <t>yanugrkx</t>
  </si>
  <si>
    <t>Daisy Cuadra</t>
  </si>
  <si>
    <t>thurs</t>
  </si>
  <si>
    <t>76nahrh5</t>
  </si>
  <si>
    <t>4d</t>
  </si>
  <si>
    <t xml:space="preserve">         JEAN B. MARQUEZ</t>
  </si>
  <si>
    <r>
      <rPr>
        <rFont val="Arial"/>
        <b/>
        <color rgb="FFFFFFFF"/>
        <sz val="11.0"/>
      </rPr>
      <t xml:space="preserve">    </t>
    </r>
    <r>
      <rPr>
        <rFont val="Arial"/>
        <b/>
        <color rgb="FF434343"/>
        <sz val="11.0"/>
      </rPr>
      <t>xcc2nc5s</t>
    </r>
  </si>
  <si>
    <t>ROOM 1</t>
  </si>
  <si>
    <t>thur</t>
  </si>
  <si>
    <t>12:00-1:30</t>
  </si>
  <si>
    <t>SALAZAR</t>
  </si>
  <si>
    <t>JUDE SALONGA</t>
  </si>
  <si>
    <t>zcv7ci3k</t>
  </si>
  <si>
    <t>2ybjpqxb</t>
  </si>
  <si>
    <t>MOn</t>
  </si>
  <si>
    <t>4a</t>
  </si>
  <si>
    <t>RICKY AMPARAD</t>
  </si>
  <si>
    <t>vxacpo5p</t>
  </si>
  <si>
    <t xml:space="preserve">v6wyhc7p
</t>
  </si>
  <si>
    <t>Thurs</t>
  </si>
  <si>
    <t>6:00 PM-8:00 PM</t>
  </si>
  <si>
    <t>pe room</t>
  </si>
  <si>
    <t>ACC 103</t>
  </si>
  <si>
    <t>Mr. Loreto</t>
  </si>
  <si>
    <t>nd6kzst3</t>
  </si>
  <si>
    <t>MS. DELARMENTE</t>
  </si>
  <si>
    <t>hjlu2jlv</t>
  </si>
  <si>
    <t>tue/wed</t>
  </si>
  <si>
    <t>5f/5a</t>
  </si>
  <si>
    <t>Ladislao A. Mercader</t>
  </si>
  <si>
    <t>6b3fqxav</t>
  </si>
  <si>
    <t>Schedule ID 37813</t>
  </si>
  <si>
    <t>y3wvcwiy</t>
  </si>
  <si>
    <t>FM 201</t>
  </si>
  <si>
    <t>zvhnkqcd</t>
  </si>
  <si>
    <t>sci lab</t>
  </si>
  <si>
    <t>aplq2z6</t>
  </si>
  <si>
    <t>6:00 PM to 9:00 PM</t>
  </si>
  <si>
    <t>pc3pjvro</t>
  </si>
  <si>
    <t>23kkorn6</t>
  </si>
  <si>
    <t>6:00 - 9:00</t>
  </si>
  <si>
    <t>e3n3pji3</t>
  </si>
  <si>
    <t>HRMAN</t>
  </si>
  <si>
    <t>Human Resource Management</t>
  </si>
  <si>
    <t>2:00 PM - 4:00 PM</t>
  </si>
  <si>
    <t>3H</t>
  </si>
  <si>
    <t>yghvpfks</t>
  </si>
  <si>
    <t>Ryon Robert Cosina</t>
  </si>
  <si>
    <t>bz4ks7y2</t>
  </si>
  <si>
    <t>INTEBUS</t>
  </si>
  <si>
    <t>International Business and Trade</t>
  </si>
  <si>
    <t>9AM - 10:30AM</t>
  </si>
  <si>
    <t>3zkxtoow</t>
  </si>
  <si>
    <t>zdxfrkgw</t>
  </si>
  <si>
    <t>ARTAPP</t>
  </si>
  <si>
    <t>Art Appreciation</t>
  </si>
  <si>
    <t>ELEM104</t>
  </si>
  <si>
    <t>gopoluru</t>
  </si>
  <si>
    <t>ir3vewoq</t>
  </si>
  <si>
    <t>CANAY, TEODORO</t>
  </si>
  <si>
    <t>9:00 AM - 10:30 AM</t>
  </si>
  <si>
    <t>a3hhdzww</t>
  </si>
  <si>
    <t>COACH JUDE SALONGA</t>
  </si>
  <si>
    <t>xo2hg3a6</t>
  </si>
  <si>
    <t>htgiffph</t>
  </si>
  <si>
    <t>7:30AM to 10:30AM</t>
  </si>
  <si>
    <t>Dr. Lenard C. Tulod</t>
  </si>
  <si>
    <t>6v6t6kwm</t>
  </si>
  <si>
    <t>y4vfjkpb</t>
  </si>
  <si>
    <t>1:30-4:40</t>
  </si>
  <si>
    <t>FINARE</t>
  </si>
  <si>
    <t>4D</t>
  </si>
  <si>
    <t>Financial Analysis and Reporting</t>
  </si>
  <si>
    <t>M.R. Aloc</t>
  </si>
  <si>
    <t>2:30pm-4:30pm</t>
  </si>
  <si>
    <t>hnydbiui</t>
  </si>
  <si>
    <t>eu7du5jq</t>
  </si>
  <si>
    <t>CAMACHO</t>
  </si>
  <si>
    <t>mgl6bwjy</t>
  </si>
  <si>
    <t>Joy. B. Badilla</t>
  </si>
  <si>
    <t>TAX</t>
  </si>
  <si>
    <t>umhfspdi</t>
  </si>
  <si>
    <t>Taxation</t>
  </si>
  <si>
    <t>gerd7ffr</t>
  </si>
  <si>
    <t>idmtwrkf</t>
  </si>
  <si>
    <t>ATTY.  LEANDRO TULOD</t>
  </si>
  <si>
    <t>Change to 10:30am to 12NN</t>
  </si>
  <si>
    <t>lyd6bpg3</t>
  </si>
  <si>
    <t>6:00PM-9:00PM</t>
  </si>
  <si>
    <t xml:space="preserve">MARTIN T. JABONITA </t>
  </si>
  <si>
    <t>upghiu3y</t>
  </si>
  <si>
    <t>ENMIND</t>
  </si>
  <si>
    <t>The Entrepreneurial Mind</t>
  </si>
  <si>
    <t>Mr. Sangco</t>
  </si>
  <si>
    <t>zav57yc7</t>
  </si>
  <si>
    <t>mq3qasb7</t>
  </si>
  <si>
    <t>TANANGONAN,EVELYN</t>
  </si>
  <si>
    <t>ujzm64ag</t>
  </si>
  <si>
    <t>PATHFIT4</t>
  </si>
  <si>
    <t>Sports</t>
  </si>
  <si>
    <t>11:30 AM - 1:30 PM</t>
  </si>
  <si>
    <t>PALADA</t>
  </si>
  <si>
    <t>ponsoxix</t>
  </si>
  <si>
    <t>qte2lwm7</t>
  </si>
  <si>
    <t>Wednesday</t>
  </si>
  <si>
    <t>LEAD 4</t>
  </si>
  <si>
    <t>Leadership</t>
  </si>
  <si>
    <t>ACC 201</t>
  </si>
  <si>
    <t>10:30-12:00</t>
  </si>
  <si>
    <t>9:00 - 12:00</t>
  </si>
  <si>
    <t>a4uqmhsb</t>
  </si>
  <si>
    <t>MR. ALONZO</t>
  </si>
  <si>
    <t>ideowv2k</t>
  </si>
  <si>
    <t>lvpyrliu</t>
  </si>
  <si>
    <t>6g75js6y</t>
  </si>
  <si>
    <t>eurthxlu</t>
  </si>
  <si>
    <t>ACCINS</t>
  </si>
  <si>
    <t>ACCOUNTING INFORMATION SYSTEM</t>
  </si>
  <si>
    <t>Marvie S. Parto</t>
  </si>
  <si>
    <t>w7lsono4</t>
  </si>
  <si>
    <t>Lienart Bescoro</t>
  </si>
  <si>
    <t>gbqsxg5n</t>
  </si>
  <si>
    <t>Ms. Threxie Rico</t>
  </si>
  <si>
    <t>fbrkxpvt</t>
  </si>
  <si>
    <t>Tuesday and Thursday / 6:00-7:30pm</t>
  </si>
  <si>
    <t>1:30-4:30 PM</t>
  </si>
  <si>
    <t>Mary Shane Carpila</t>
  </si>
  <si>
    <t>d2likc7h</t>
  </si>
  <si>
    <t>BGBERMIC</t>
  </si>
  <si>
    <t>GOVERNANCE,BUSINESS ETHICS,RISK,MANAGEMENT AND INTERNAL CONTROL</t>
  </si>
  <si>
    <t>FM 202</t>
  </si>
  <si>
    <t>10:30-1:30PM</t>
  </si>
  <si>
    <t>bjn6sux3</t>
  </si>
  <si>
    <t>BUSTAX</t>
  </si>
  <si>
    <t>BUSINESS TAXATION</t>
  </si>
  <si>
    <t>IT 103</t>
  </si>
  <si>
    <t>FINMAR</t>
  </si>
  <si>
    <t>FINANCIAL MARKET</t>
  </si>
  <si>
    <t>ELEM 201</t>
  </si>
  <si>
    <t>jdocu4r3</t>
  </si>
  <si>
    <t>ESPIRITU</t>
  </si>
  <si>
    <t>INTACC3</t>
  </si>
  <si>
    <t>eo54rofc</t>
  </si>
  <si>
    <t>INTERMEDIATE ACCOUNTING 3</t>
  </si>
  <si>
    <t>3:00 P.M to 6:00 P.M</t>
  </si>
  <si>
    <t>uwc6vaeb</t>
  </si>
  <si>
    <t>BENLAC</t>
  </si>
  <si>
    <t>Building and Enhancing New Literacies Across the Curriculum</t>
  </si>
  <si>
    <t>Leadership 4</t>
  </si>
  <si>
    <t>TUE/ FRI</t>
  </si>
  <si>
    <t>3:00 - 4:30</t>
  </si>
  <si>
    <t>6:00-7:30</t>
  </si>
  <si>
    <t>5B/5A</t>
  </si>
  <si>
    <t>vqcq2wu3</t>
  </si>
  <si>
    <t>Ms. Varca</t>
  </si>
  <si>
    <t>zbck2l3d</t>
  </si>
  <si>
    <t>svzxicf4</t>
  </si>
  <si>
    <t>WEDS - 3PM-4:30</t>
  </si>
  <si>
    <t>yyewqc4l</t>
  </si>
  <si>
    <t>CONPED</t>
  </si>
  <si>
    <t>Content and Pedagogy for the Mother Tongue</t>
  </si>
  <si>
    <t>5B</t>
  </si>
  <si>
    <t>PE 4</t>
  </si>
  <si>
    <t>JEAN B.MARQUEZ</t>
  </si>
  <si>
    <t>Team Sports</t>
  </si>
  <si>
    <t>h3vxrsby</t>
  </si>
  <si>
    <t xml:space="preserve">4:30 - 6:30 </t>
  </si>
  <si>
    <t>EDTECH 2</t>
  </si>
  <si>
    <t>Technology for Teaching and Learning 2</t>
  </si>
  <si>
    <t>CUADRA, DAISY R.</t>
  </si>
  <si>
    <t>xxadslaz</t>
  </si>
  <si>
    <t xml:space="preserve">ccbtfttb
</t>
  </si>
  <si>
    <t>EDTECH ROOM</t>
  </si>
  <si>
    <t>tiqyytu5</t>
  </si>
  <si>
    <t>RFLIB</t>
  </si>
  <si>
    <t>REGULATORY FRAMEWORK AND LEGAL</t>
  </si>
  <si>
    <t>zondak6w</t>
  </si>
  <si>
    <t>6:00PM to 9:00PM</t>
  </si>
  <si>
    <t>dy55oqck</t>
  </si>
  <si>
    <t>kl4dqxsz</t>
  </si>
  <si>
    <t>CARPILA, MARY SHANE</t>
  </si>
  <si>
    <t>8:30-10:30</t>
  </si>
  <si>
    <t>tka3ctqk</t>
  </si>
  <si>
    <t>cj5sg3ni</t>
  </si>
  <si>
    <t>TEAORG</t>
  </si>
  <si>
    <t>The Teacher and Community, School Culture, and Organizational Leadership</t>
  </si>
  <si>
    <t>THURS/FRI</t>
  </si>
  <si>
    <t>5G/5D</t>
  </si>
  <si>
    <t>Ms. F. Bejosa</t>
  </si>
  <si>
    <t>huq3juf4</t>
  </si>
  <si>
    <t>kaf3m3f3</t>
  </si>
  <si>
    <t>TEASCURR</t>
  </si>
  <si>
    <t>The Teacher and The School Curriculum</t>
  </si>
  <si>
    <t>dotcrnbx</t>
  </si>
  <si>
    <t xml:space="preserve">Ryan Romnick Sanchez </t>
  </si>
  <si>
    <t>7:00 PM - 9:00 PM</t>
  </si>
  <si>
    <t>TFIL 2</t>
  </si>
  <si>
    <t>Pagtuturo ng Filipino sa Elementarya (2) (Panitikan ng Pilipinas)</t>
  </si>
  <si>
    <t>kgbblxgk</t>
  </si>
  <si>
    <t>bhw5jisr</t>
  </si>
  <si>
    <t>TMATH 2</t>
  </si>
  <si>
    <t>Teaching Math in Intermidiate Grades</t>
  </si>
  <si>
    <t>kmhrlmiz</t>
  </si>
  <si>
    <t>qfnqiubs</t>
  </si>
  <si>
    <t>TSCI 2</t>
  </si>
  <si>
    <t>Teaching Science in Elementary Grades (Biology and Chemistry)</t>
  </si>
  <si>
    <t>ACC 202</t>
  </si>
  <si>
    <t>PETER SIMON D. BELISARIO</t>
  </si>
  <si>
    <t>qvq7bgww</t>
  </si>
  <si>
    <t>12:30-2:30</t>
  </si>
  <si>
    <t>euetdzgu</t>
  </si>
  <si>
    <t>EDSTAT</t>
  </si>
  <si>
    <t>axgy5qys</t>
  </si>
  <si>
    <t xml:space="preserve">Educational Statistics
</t>
  </si>
  <si>
    <t>TUE/THUR</t>
  </si>
  <si>
    <t>7:30-9:00 AM</t>
  </si>
  <si>
    <t>5B/5G</t>
  </si>
  <si>
    <t>bbdfzqjx</t>
  </si>
  <si>
    <t>3:00 PM - 4:30 PM</t>
  </si>
  <si>
    <t>3:00-4:30</t>
  </si>
  <si>
    <t>d52jnhq2</t>
  </si>
  <si>
    <t>COACH. MARIEL</t>
  </si>
  <si>
    <t>vezeeszi</t>
  </si>
  <si>
    <t>ai6ii2mh</t>
  </si>
  <si>
    <t>4:00-7:00PM</t>
  </si>
  <si>
    <t>Aielene Cindel V. Gallen</t>
  </si>
  <si>
    <t>aomjvry6</t>
  </si>
  <si>
    <t>jeq3ycw5</t>
  </si>
  <si>
    <t>ELEM 202</t>
  </si>
  <si>
    <t>5:00 PM - 7:00 PM</t>
  </si>
  <si>
    <t>sapqhrif</t>
  </si>
  <si>
    <t>MR. LORETO</t>
  </si>
  <si>
    <t>d3alsmkf</t>
  </si>
  <si>
    <t>3:00 - 6:00</t>
  </si>
  <si>
    <t>EN 101</t>
  </si>
  <si>
    <t>c67g5fux</t>
  </si>
  <si>
    <t>yrb76v7i</t>
  </si>
  <si>
    <t>6:00 - 9:00PM</t>
  </si>
  <si>
    <t>cqoxvgny</t>
  </si>
  <si>
    <t xml:space="preserve">          JEAN B. MARQUEZ</t>
  </si>
  <si>
    <t>7:30 AM - 9:30 AM</t>
  </si>
  <si>
    <t xml:space="preserve">      az27igee</t>
  </si>
  <si>
    <t>wsqoy2fw</t>
  </si>
  <si>
    <t>3dwlps4p</t>
  </si>
  <si>
    <t>4:30PM - 6PM</t>
  </si>
  <si>
    <t>oalazpyi</t>
  </si>
  <si>
    <t>ipgitdkf</t>
  </si>
  <si>
    <t>9:00-10:30</t>
  </si>
  <si>
    <t>COACH. LORETO</t>
  </si>
  <si>
    <t>yl5rsd24</t>
  </si>
  <si>
    <t>yfh2caba</t>
  </si>
  <si>
    <t>12:00-2:00</t>
  </si>
  <si>
    <t>Mr. Palada</t>
  </si>
  <si>
    <t>1:00pm - 3:00pm</t>
  </si>
  <si>
    <t>hpbmihp7</t>
  </si>
  <si>
    <t xml:space="preserve">indgtm3p
</t>
  </si>
  <si>
    <t>MR. DELA CRUZ</t>
  </si>
  <si>
    <t>wil4dajc</t>
  </si>
  <si>
    <t>Ryan Romnick Sanchez</t>
  </si>
  <si>
    <r>
      <rPr>
        <rFont val="Arial"/>
        <b/>
        <color rgb="FF000000"/>
        <sz val="13.0"/>
      </rPr>
      <t>x64tgg5m</t>
    </r>
    <r>
      <rPr>
        <rFont val="Arial"/>
        <b/>
        <color rgb="FFFF0000"/>
      </rPr>
      <t xml:space="preserve">
</t>
    </r>
  </si>
  <si>
    <t>Sheila Marie C. Caculitan</t>
  </si>
  <si>
    <t>ql7pr6je</t>
  </si>
  <si>
    <t>MARMAN</t>
  </si>
  <si>
    <t>Marketing Management</t>
  </si>
  <si>
    <t>tdemooaf</t>
  </si>
  <si>
    <t>12:00 - 3:00</t>
  </si>
  <si>
    <t>TELESFORO, BERNABE</t>
  </si>
  <si>
    <t>fuffjmxq</t>
  </si>
  <si>
    <t>tvhp53o2</t>
  </si>
  <si>
    <t>4B</t>
  </si>
  <si>
    <t>e65koqxj</t>
  </si>
  <si>
    <t>edurku6t</t>
  </si>
  <si>
    <t xml:space="preserve">MIRASOL, CRISTY </t>
  </si>
  <si>
    <t>mtxvadhw</t>
  </si>
  <si>
    <t>5dqj5pgs</t>
  </si>
  <si>
    <t>IT 104</t>
  </si>
  <si>
    <t>EVANGELISTA, JAY</t>
  </si>
  <si>
    <t>ACC 203</t>
  </si>
  <si>
    <t>zvnepitv</t>
  </si>
  <si>
    <t>ESPIRITU,JABEZ</t>
  </si>
  <si>
    <t>sxuy63km</t>
  </si>
  <si>
    <t>2:30-4:30</t>
  </si>
  <si>
    <t>ELEM 301</t>
  </si>
  <si>
    <t>bxhx47yj</t>
  </si>
  <si>
    <t>m4qyvcy</t>
  </si>
  <si>
    <t>MS. ALOC</t>
  </si>
  <si>
    <t>nunps5dq</t>
  </si>
  <si>
    <t>DELACRUZ,EMMANUEL</t>
  </si>
  <si>
    <t>4gxs4byl</t>
  </si>
  <si>
    <t>yqpvzn3z</t>
  </si>
  <si>
    <t>ASSMNT 2</t>
  </si>
  <si>
    <t>Assessment in Learning 2</t>
  </si>
  <si>
    <t>7:30-9:00</t>
  </si>
  <si>
    <t>6:00-9:00PM</t>
  </si>
  <si>
    <t>6vbjv53f</t>
  </si>
  <si>
    <t>2etxuwyi</t>
  </si>
  <si>
    <t>lotqxgf4</t>
  </si>
  <si>
    <t>Sci Lab</t>
  </si>
  <si>
    <t>CACERES</t>
  </si>
  <si>
    <t>EPPENT</t>
  </si>
  <si>
    <t>Edukasyong Pantahanan at Pangkabuhayan with Entrep</t>
  </si>
  <si>
    <t>v5quawuo</t>
  </si>
  <si>
    <t>5:00-8:00</t>
  </si>
  <si>
    <t>Mr. R. Glendro</t>
  </si>
  <si>
    <t>isf546xn</t>
  </si>
  <si>
    <t>GMRC</t>
  </si>
  <si>
    <t>Good Manners and Right Conduct (Edukasyon sa Pagpapakatao)</t>
  </si>
  <si>
    <t>ygjdkapx</t>
  </si>
  <si>
    <t>ocavuaem</t>
  </si>
  <si>
    <t>kqcr45lc</t>
  </si>
  <si>
    <t>LEAD 6</t>
  </si>
  <si>
    <t>Leadership 6</t>
  </si>
  <si>
    <t>rg5vnk7z</t>
  </si>
  <si>
    <t>RESELEM1</t>
  </si>
  <si>
    <t>Research in Elementary Education 1</t>
  </si>
  <si>
    <t>e2zd2o4c</t>
  </si>
  <si>
    <t>Dr. Rommel R. Bravo</t>
  </si>
  <si>
    <t>n4abi6yg</t>
  </si>
  <si>
    <t>TMGC</t>
  </si>
  <si>
    <t>Teaching Multi-Grade Classes</t>
  </si>
  <si>
    <t>12NN - 1:30PM</t>
  </si>
  <si>
    <t>l63iisoo</t>
  </si>
  <si>
    <t>6situzma</t>
  </si>
  <si>
    <t>TPEH</t>
  </si>
  <si>
    <t>Teaching PE and Health in the Elementary Grades</t>
  </si>
  <si>
    <t>EN 201</t>
  </si>
  <si>
    <t>Dr. M. Olet</t>
  </si>
  <si>
    <t>qed7lgoy</t>
  </si>
  <si>
    <t>9:30-11:30</t>
  </si>
  <si>
    <t xml:space="preserve">LOURIVIE NABUAB </t>
  </si>
  <si>
    <t>bvs5w6yx</t>
  </si>
  <si>
    <t>INSPED</t>
  </si>
  <si>
    <t>Introduction to Special Education</t>
  </si>
  <si>
    <t>lcfxnahl</t>
  </si>
  <si>
    <t>Ms.  Threxie Rico</t>
  </si>
  <si>
    <t>niu4ybrr</t>
  </si>
  <si>
    <t>ka7hoitt</t>
  </si>
  <si>
    <t>ADVCOM</t>
  </si>
  <si>
    <t>Adv.Computer App  for Business</t>
  </si>
  <si>
    <t>1:30PM to 4:30PM</t>
  </si>
  <si>
    <t>12:00 PM - 1:30 PM</t>
  </si>
  <si>
    <t>ydylp7pc</t>
  </si>
  <si>
    <t>Com Lab3</t>
  </si>
  <si>
    <t>LAYOS,JOLAND(NEW2)</t>
  </si>
  <si>
    <t>t4lzemce</t>
  </si>
  <si>
    <t>a3nlxyuy</t>
  </si>
  <si>
    <t>Internationla Business and Trade</t>
  </si>
  <si>
    <t>THIURS</t>
  </si>
  <si>
    <t>ELEM 302</t>
  </si>
  <si>
    <t>wgbbuz6w</t>
  </si>
  <si>
    <t>Business Law and Taxation</t>
  </si>
  <si>
    <t>9:30 AM - 11:30 AM</t>
  </si>
  <si>
    <t>SARABIA</t>
  </si>
  <si>
    <t>7ubm22am</t>
  </si>
  <si>
    <t>ACC 301</t>
  </si>
  <si>
    <t>TUES 9:00-12:00</t>
  </si>
  <si>
    <t>dbfsoqbf</t>
  </si>
  <si>
    <t>MARKCOB</t>
  </si>
  <si>
    <t>Market Reserach and Consumer Behaviour</t>
  </si>
  <si>
    <t>r2c4hsqi</t>
  </si>
  <si>
    <t xml:space="preserve">VALENCIA, ROY </t>
  </si>
  <si>
    <t>7scq5kxr</t>
  </si>
  <si>
    <t>AASPIN</t>
  </si>
  <si>
    <t>AUDITING &amp; ASSURANCE: SPECIALIZED INDUSTRY</t>
  </si>
  <si>
    <t>3C</t>
  </si>
  <si>
    <t>THIRS</t>
  </si>
  <si>
    <t>PRICOS</t>
  </si>
  <si>
    <t>ic4cznsp</t>
  </si>
  <si>
    <t>Pricing and Costing</t>
  </si>
  <si>
    <t>5H</t>
  </si>
  <si>
    <t>Dr. J. Santos</t>
  </si>
  <si>
    <t>a54klfe4</t>
  </si>
  <si>
    <t>mg5cktl6</t>
  </si>
  <si>
    <t>ACCAP2</t>
  </si>
  <si>
    <t>AUDITING &amp; ASSURANCE: CONCEPTS AND APPLICATIONS 2</t>
  </si>
  <si>
    <t>bfut3psh</t>
  </si>
  <si>
    <t>FRANCH</t>
  </si>
  <si>
    <t>Franchising</t>
  </si>
  <si>
    <t>ACCREM</t>
  </si>
  <si>
    <t>ACCOUNTING RESEARCH METHOD</t>
  </si>
  <si>
    <t>7:30am-10:30am</t>
  </si>
  <si>
    <t>7m5snlkp</t>
  </si>
  <si>
    <t>Daisy B. Medina-Cruz</t>
  </si>
  <si>
    <t>jgn5hd3z</t>
  </si>
  <si>
    <t>AGOVNPO</t>
  </si>
  <si>
    <t>ACCOUNTING FOR GOVERNMENT AND NON-PROFIT ORGANIZATION</t>
  </si>
  <si>
    <t>lxcfz4yq</t>
  </si>
  <si>
    <t>10:30 PM to 1:30 PM</t>
  </si>
  <si>
    <t>keqhhqpk</t>
  </si>
  <si>
    <t xml:space="preserve">JABONITA, MARTIN </t>
  </si>
  <si>
    <t>bjpzhd6r</t>
  </si>
  <si>
    <t>qp4uxhnz</t>
  </si>
  <si>
    <t>AUCISE</t>
  </si>
  <si>
    <t>Wednesday 3:00 - 6:00</t>
  </si>
  <si>
    <t>zftuxrpl</t>
  </si>
  <si>
    <t>AUDITING IN CIS ENVIRONMENT</t>
  </si>
  <si>
    <t>yqj5ejrf</t>
  </si>
  <si>
    <t>Ms. C. Vitales</t>
  </si>
  <si>
    <t>zri7t265</t>
  </si>
  <si>
    <t>TSCI 2 - Tuesday 4:30-7:30</t>
  </si>
  <si>
    <t>IBUSTRA</t>
  </si>
  <si>
    <t>INTERNATIONAL BUSINESS AND TRADE</t>
  </si>
  <si>
    <t>3:00PM - 6:00PM</t>
  </si>
  <si>
    <t>754cjudo</t>
  </si>
  <si>
    <t>5wa2bhuv</t>
  </si>
  <si>
    <t>LEAD4</t>
  </si>
  <si>
    <t>Leadership4-The Hands of a Leader</t>
  </si>
  <si>
    <t>10:30AM to 12:00NN</t>
  </si>
  <si>
    <t>474swujl</t>
  </si>
  <si>
    <t>COACH LORETO</t>
  </si>
  <si>
    <t>wuspw2y4</t>
  </si>
  <si>
    <t>ELEM 303</t>
  </si>
  <si>
    <t>from 4f to 4B</t>
  </si>
  <si>
    <t>PMTACC</t>
  </si>
  <si>
    <t>PRINCIPLES AND METHOD OF TEACHING ACCOUNTING</t>
  </si>
  <si>
    <t>IT 105</t>
  </si>
  <si>
    <t>6cgxc4qq</t>
  </si>
  <si>
    <t>lb6p3mfz</t>
  </si>
  <si>
    <t>ACC 302</t>
  </si>
  <si>
    <t>EN 301</t>
  </si>
  <si>
    <t>sheeuszq</t>
  </si>
  <si>
    <t>MS. DANUCO</t>
  </si>
  <si>
    <t>g33tud2w</t>
  </si>
  <si>
    <t>Dr. C. Asia</t>
  </si>
  <si>
    <t>47gycji4</t>
  </si>
  <si>
    <t>TRACK2</t>
  </si>
  <si>
    <t>ryijcwuc</t>
  </si>
  <si>
    <t>Tourism Business</t>
  </si>
  <si>
    <t>TANANGONAN, EVELYN D.R.</t>
  </si>
  <si>
    <t>negr467i</t>
  </si>
  <si>
    <t>j4tdhfqd</t>
  </si>
  <si>
    <t>qarwlkt2</t>
  </si>
  <si>
    <t>MR. ANGAC</t>
  </si>
  <si>
    <t>BP-PRE</t>
  </si>
  <si>
    <t>Business Plan Preparation</t>
  </si>
  <si>
    <t>10:30am-1:30pm</t>
  </si>
  <si>
    <t xml:space="preserve">kyappokm
</t>
  </si>
  <si>
    <t>LOURIVIE NABUAB</t>
  </si>
  <si>
    <t>SAN JUAN, SHIELA</t>
  </si>
  <si>
    <t>yahxyuwy</t>
  </si>
  <si>
    <t>wed 1:00-4:00  room 4f</t>
  </si>
  <si>
    <t>xbfh4yb3</t>
  </si>
  <si>
    <t>FINMAN</t>
  </si>
  <si>
    <t>Financial Management</t>
  </si>
  <si>
    <t>jumg7iuf</t>
  </si>
  <si>
    <t>lo6int2v</t>
  </si>
  <si>
    <t>E-COMM</t>
  </si>
  <si>
    <t>eknmon4y</t>
  </si>
  <si>
    <t>E-Commerce &amp; Internet Marketing</t>
  </si>
  <si>
    <t>ELEM 304</t>
  </si>
  <si>
    <t>ug7wawi6</t>
  </si>
  <si>
    <t>MICROFIN</t>
  </si>
  <si>
    <t>Microfinancing</t>
  </si>
  <si>
    <t>iotouyki</t>
  </si>
  <si>
    <t>rr5ly4yp</t>
  </si>
  <si>
    <t>2bzyyuy4</t>
  </si>
  <si>
    <t>akpdcqiz</t>
  </si>
  <si>
    <t>STRAMAN</t>
  </si>
  <si>
    <t>jftq3w67</t>
  </si>
  <si>
    <t>Strategic Management</t>
  </si>
  <si>
    <t>4jads562</t>
  </si>
  <si>
    <t>TOLENTINO, DAVID RYAN</t>
  </si>
  <si>
    <t>bvtahpzb</t>
  </si>
  <si>
    <t>LEAD6</t>
  </si>
  <si>
    <t>amc6kg6v</t>
  </si>
  <si>
    <t>rebyeyac</t>
  </si>
  <si>
    <t>ACC 303</t>
  </si>
  <si>
    <t>CHANGE TO WED. 7:30-9:00</t>
  </si>
  <si>
    <t>csomutfy</t>
  </si>
  <si>
    <t>svfrtdc3</t>
  </si>
  <si>
    <t>7qeyi4aj</t>
  </si>
  <si>
    <t>ha4xx46n</t>
  </si>
  <si>
    <t>EN 401</t>
  </si>
  <si>
    <t>Ryon Robert Cosima</t>
  </si>
  <si>
    <t>lg2grwte</t>
  </si>
  <si>
    <t>2:00pm-5:00pm</t>
  </si>
  <si>
    <t>MS. PAYUSAN</t>
  </si>
  <si>
    <t>2lxmlszi</t>
  </si>
  <si>
    <t>7:30 PM to 10:30 PM</t>
  </si>
  <si>
    <t>ELEM 401</t>
  </si>
  <si>
    <t>kwz3ohxs</t>
  </si>
  <si>
    <t>TRACKS 4</t>
  </si>
  <si>
    <t>Export Business</t>
  </si>
  <si>
    <t>qxovpu22</t>
  </si>
  <si>
    <t>GAGARIN,BERLY</t>
  </si>
  <si>
    <t>ep3bhj2f</t>
  </si>
  <si>
    <t>5ihsekfx</t>
  </si>
  <si>
    <t>LEAD8</t>
  </si>
  <si>
    <t>Leadership 8</t>
  </si>
  <si>
    <t>1:00-2:30</t>
  </si>
  <si>
    <t>6yy2mrt4</t>
  </si>
  <si>
    <t>BP-IMPLEM2</t>
  </si>
  <si>
    <t>Business Plan Implementation 2</t>
  </si>
  <si>
    <t>PRACTICU</t>
  </si>
  <si>
    <t>Teaching Internship</t>
  </si>
  <si>
    <t>WED/SAT</t>
  </si>
  <si>
    <t>i34fyo5p</t>
  </si>
  <si>
    <t>10:00-3:00</t>
  </si>
  <si>
    <t>6:00-9:00/10:00-1:00</t>
  </si>
  <si>
    <t>Dr. J. Villanueva</t>
  </si>
  <si>
    <t>gfhkb6au</t>
  </si>
  <si>
    <t>wed 7:30-12:30</t>
  </si>
  <si>
    <t>room 4e</t>
  </si>
  <si>
    <t>12:00NN to 1:30PM</t>
  </si>
  <si>
    <t>u7ijavs6</t>
  </si>
  <si>
    <t>x3dpqnoo</t>
  </si>
  <si>
    <t>FROM TUE. 4:30-6:00 TO 3:00-4:30</t>
  </si>
  <si>
    <t>FIL 101</t>
  </si>
  <si>
    <t>IT 106</t>
  </si>
  <si>
    <t>ACC 401</t>
  </si>
  <si>
    <t>xt4hvhpj</t>
  </si>
  <si>
    <t>aqhnofw5</t>
  </si>
  <si>
    <t>6:00 - 9:00pm</t>
  </si>
  <si>
    <t>jn7nfm7f</t>
  </si>
  <si>
    <t>MS. PABELARIO</t>
  </si>
  <si>
    <t>MM 101</t>
  </si>
  <si>
    <t>he2bqdv7</t>
  </si>
  <si>
    <t>FILWIK</t>
  </si>
  <si>
    <t>Introduksyon sa Pag-aaral ng Wika</t>
  </si>
  <si>
    <t>ll5veeo</t>
  </si>
  <si>
    <t>ENTREMIN</t>
  </si>
  <si>
    <t>THE ENTREPRENEURIAL MIND</t>
  </si>
  <si>
    <t>5C</t>
  </si>
  <si>
    <t>w6n3trm5</t>
  </si>
  <si>
    <t xml:space="preserve">3fwqmhlr
</t>
  </si>
  <si>
    <t>o2dpzgch</t>
  </si>
  <si>
    <t>3:00 - 4:30 PM</t>
  </si>
  <si>
    <t>xc6x3jqd</t>
  </si>
  <si>
    <t>lz36jq42</t>
  </si>
  <si>
    <t>2:30-5:30</t>
  </si>
  <si>
    <t>4:00-6:00</t>
  </si>
  <si>
    <t>5qqba2y</t>
  </si>
  <si>
    <t>za62k2m4</t>
  </si>
  <si>
    <t>ENMND</t>
  </si>
  <si>
    <t>The Enterpreneurial Mind</t>
  </si>
  <si>
    <t>3C/4F</t>
  </si>
  <si>
    <t>birxlr53</t>
  </si>
  <si>
    <t>TH 3-4:30/FRI 6-7:30 PM</t>
  </si>
  <si>
    <t>TELESFORO,BERNABE</t>
  </si>
  <si>
    <t>Telesforo C. Bernabe Jr.</t>
  </si>
  <si>
    <t>pc4wms5u</t>
  </si>
  <si>
    <t>na7thiab</t>
  </si>
  <si>
    <t>3:00- 6:00 PM</t>
  </si>
  <si>
    <t>UPFRS</t>
  </si>
  <si>
    <t>uxvfcnnp</t>
  </si>
  <si>
    <t>UPDATES IN FINANCIAL REPORTING STANDARDS</t>
  </si>
  <si>
    <t>KOMFIL</t>
  </si>
  <si>
    <t>Kontekstwalisadong Komunikasyon</t>
  </si>
  <si>
    <t>FRI/SAT</t>
  </si>
  <si>
    <t>1:30pm-3:00pm</t>
  </si>
  <si>
    <t>Andie L. Lasang</t>
  </si>
  <si>
    <t>2wkxzuod</t>
  </si>
  <si>
    <t>ffxmk7ru</t>
  </si>
  <si>
    <t>xmrwhivl</t>
  </si>
  <si>
    <t>cndyyozt</t>
  </si>
  <si>
    <t>VALCOMET</t>
  </si>
  <si>
    <t>VALUATION CONCEPTS AND METHODS</t>
  </si>
  <si>
    <t>Science, Technology and Society</t>
  </si>
  <si>
    <t>1:30 PM - 3:00 PM</t>
  </si>
  <si>
    <t>ilxytapv</t>
  </si>
  <si>
    <t>3ftlvsp7</t>
  </si>
  <si>
    <t>3h7afrit</t>
  </si>
  <si>
    <t>TUES/THURS</t>
  </si>
  <si>
    <t>4:30-6:00 pm</t>
  </si>
  <si>
    <t>FIL 201</t>
  </si>
  <si>
    <t>Ann Threxie M. Rico</t>
  </si>
  <si>
    <t>bxmox2ql</t>
  </si>
  <si>
    <t>SARABIA, ELMER</t>
  </si>
  <si>
    <t xml:space="preserve">rjucjomw
</t>
  </si>
  <si>
    <t>24byktcy</t>
  </si>
  <si>
    <t>EDTECH2</t>
  </si>
  <si>
    <t>bxssjuyw</t>
  </si>
  <si>
    <t>11:00 AM - 1:00 PM</t>
  </si>
  <si>
    <t>Mathemathics in the Modern World</t>
  </si>
  <si>
    <t>3qw5ojq7</t>
  </si>
  <si>
    <t xml:space="preserve"> wmropfcc</t>
  </si>
  <si>
    <t>jpgq4m7j</t>
  </si>
  <si>
    <t>ACC 402</t>
  </si>
  <si>
    <t>National Service Training Prog II</t>
  </si>
  <si>
    <t>6:00-9:00 PM</t>
  </si>
  <si>
    <t>lnxlvppr</t>
  </si>
  <si>
    <t>ESWIKA</t>
  </si>
  <si>
    <t>3wflc7d3</t>
  </si>
  <si>
    <t>Estruktura ng Wikang Filipino</t>
  </si>
  <si>
    <t>f2l3ghy</t>
  </si>
  <si>
    <t>Exercise Based Course</t>
  </si>
  <si>
    <t>Educational Statistics</t>
  </si>
  <si>
    <t>9:00-11:00</t>
  </si>
  <si>
    <t>Study Hall</t>
  </si>
  <si>
    <t xml:space="preserve">eevh667t
</t>
  </si>
  <si>
    <t>5H/4D</t>
  </si>
  <si>
    <t>tkx7nvnk</t>
  </si>
  <si>
    <t>Mon/Wed 12-1:30/4:30-6:00</t>
  </si>
  <si>
    <t>FILKURI</t>
  </si>
  <si>
    <t>Ang Filipino sa Kurikulum ng Batayang Eduka</t>
  </si>
  <si>
    <t>Leadership2 _ Personal Development</t>
  </si>
  <si>
    <t>7rbimpe7</t>
  </si>
  <si>
    <t>r45sevlw</t>
  </si>
  <si>
    <t>zs4uqj62</t>
  </si>
  <si>
    <t>3v64nkbw</t>
  </si>
  <si>
    <t>FILKULIP</t>
  </si>
  <si>
    <t xml:space="preserve">FROM THU. 1:00-2:30 TO 12:00-1:30 </t>
  </si>
  <si>
    <t>Ugnayan ng Wika, Kultura, at Lipunan</t>
  </si>
  <si>
    <t>TUE,  TH</t>
  </si>
  <si>
    <t>4:30-6:00, 7:30-9:00 pm</t>
  </si>
  <si>
    <t>e5tuusow</t>
  </si>
  <si>
    <t>3:00 PM- 6:00 PM</t>
  </si>
  <si>
    <t>Principles of Finance</t>
  </si>
  <si>
    <t>c675i2zz</t>
  </si>
  <si>
    <t>PANBAN</t>
  </si>
  <si>
    <t>Panitikan ng Umuunlad na Bansa</t>
  </si>
  <si>
    <t xml:space="preserve">hdvsnkwr
</t>
  </si>
  <si>
    <t>INSO, DINDO</t>
  </si>
  <si>
    <t>733jmg33</t>
  </si>
  <si>
    <t>vksqcgwv</t>
  </si>
  <si>
    <t>ELEKTIB 1</t>
  </si>
  <si>
    <t>Malikhaing Pagsulat</t>
  </si>
  <si>
    <t>t3cd7loc</t>
  </si>
  <si>
    <t>5d5b5cwi</t>
  </si>
  <si>
    <t>PATHFIT 4</t>
  </si>
  <si>
    <t>11:30-1:30</t>
  </si>
  <si>
    <t>Dr. Olet</t>
  </si>
  <si>
    <t>z56nezat</t>
  </si>
  <si>
    <t>ccd7t7eq</t>
  </si>
  <si>
    <t>Leadership 4 - The Hands of a Leader</t>
  </si>
  <si>
    <t>1:30-3 PM</t>
  </si>
  <si>
    <t>nomnllr5</t>
  </si>
  <si>
    <t>WEDS 12NN-1:30</t>
  </si>
  <si>
    <t>prwqsrta</t>
  </si>
  <si>
    <t>IT 107</t>
  </si>
  <si>
    <t>MM 102</t>
  </si>
  <si>
    <t>D. Cuadra</t>
  </si>
  <si>
    <t>vubjq3at</t>
  </si>
  <si>
    <t>FIL 202</t>
  </si>
  <si>
    <t>svaqeu26</t>
  </si>
  <si>
    <t>45chyohc</t>
  </si>
  <si>
    <t>a62shu2y</t>
  </si>
  <si>
    <t>7:30-9:00/4:30-6:00</t>
  </si>
  <si>
    <t>Dr. D. Duyan</t>
  </si>
  <si>
    <t>uioj3jsa</t>
  </si>
  <si>
    <t>g32i7jbb</t>
  </si>
  <si>
    <t>sttgbnaa</t>
  </si>
  <si>
    <t>tp6ps6nh</t>
  </si>
  <si>
    <t>3:00-6:00 PM</t>
  </si>
  <si>
    <t>JEAN B. MARQUEZ</t>
  </si>
  <si>
    <t>MONDAY</t>
  </si>
  <si>
    <t xml:space="preserve">     jl65kr3q</t>
  </si>
  <si>
    <t>ngw3ajy5</t>
  </si>
  <si>
    <t>4f3vk7fb</t>
  </si>
  <si>
    <t xml:space="preserve">lewkerh5
</t>
  </si>
  <si>
    <t>Scie Lab</t>
  </si>
  <si>
    <t>lsnj5gad</t>
  </si>
  <si>
    <t>ue7kpu5d</t>
  </si>
  <si>
    <t>MON/THURS</t>
  </si>
  <si>
    <t>7:30-9:00pm / 4:30-6:00pm</t>
  </si>
  <si>
    <t>4G/5G</t>
  </si>
  <si>
    <t>lmtsjb63</t>
  </si>
  <si>
    <t xml:space="preserve">WED </t>
  </si>
  <si>
    <t>Ms. Calangiam</t>
  </si>
  <si>
    <t>sxjbdooj</t>
  </si>
  <si>
    <t>LIM,RON LOUIE</t>
  </si>
  <si>
    <t>ebhmiia4</t>
  </si>
  <si>
    <r>
      <rPr>
        <rFont val="Calibri"/>
        <color theme="1"/>
        <sz val="12.0"/>
      </rPr>
      <t xml:space="preserve"> </t>
    </r>
    <r>
      <rPr>
        <rFont val="Calibri"/>
        <b/>
        <color theme="1"/>
        <sz val="12.0"/>
      </rPr>
      <t>JEAN B. MARQUEZ</t>
    </r>
  </si>
  <si>
    <t>s452iqsh</t>
  </si>
  <si>
    <t>Mathemathics in the Modermn World</t>
  </si>
  <si>
    <t>z7u4dkdy</t>
  </si>
  <si>
    <t>5e55dsdx</t>
  </si>
  <si>
    <t>MR. BAUTISTA</t>
  </si>
  <si>
    <t>wisbmsik</t>
  </si>
  <si>
    <r>
      <rPr>
        <rFont val="Arial"/>
        <b/>
        <color theme="1"/>
        <sz val="15.0"/>
      </rPr>
      <t>3j7dms4v</t>
    </r>
    <r>
      <rPr>
        <rFont val="Arial"/>
        <color theme="1"/>
        <sz val="15.0"/>
      </rPr>
      <t xml:space="preserve">
</t>
    </r>
  </si>
  <si>
    <t>d2rqlx7c</t>
  </si>
  <si>
    <t>PE Room</t>
  </si>
  <si>
    <t>NABUAB</t>
  </si>
  <si>
    <t>FIL 401</t>
  </si>
  <si>
    <t>7xetmfjy</t>
  </si>
  <si>
    <t>8:00-9:30 AM</t>
  </si>
  <si>
    <t>oejywobf</t>
  </si>
  <si>
    <t>tues - 10:30 - 12NN</t>
  </si>
  <si>
    <t>7o5jqerm</t>
  </si>
  <si>
    <t>jvcxekle</t>
  </si>
  <si>
    <t>4:30-7:30/9:30-12:30</t>
  </si>
  <si>
    <t>64zgd7il</t>
  </si>
  <si>
    <t>odp7esxz</t>
  </si>
  <si>
    <t>zrsrzywe</t>
  </si>
  <si>
    <t>ENG 101</t>
  </si>
  <si>
    <t>3:00-6:00 pm</t>
  </si>
  <si>
    <t>Dr. J. Tan</t>
  </si>
  <si>
    <t>gs4lmir</t>
  </si>
  <si>
    <t>2xydviex</t>
  </si>
  <si>
    <t>h6i2pq36</t>
  </si>
  <si>
    <t xml:space="preserve">4:30 - 7:30 </t>
  </si>
  <si>
    <t>MM 103</t>
  </si>
  <si>
    <t>4wveuozc</t>
  </si>
  <si>
    <t>cgwugd4l</t>
  </si>
  <si>
    <t>j4ty5nwt</t>
  </si>
  <si>
    <t>LINGUIST</t>
  </si>
  <si>
    <t>Introduction to Linguistics</t>
  </si>
  <si>
    <t>6macjkvg</t>
  </si>
  <si>
    <t xml:space="preserve">rbpgsjzn
</t>
  </si>
  <si>
    <t>u4zhpl63</t>
  </si>
  <si>
    <t>10:00-12:00</t>
  </si>
  <si>
    <t>PE ROOM2</t>
  </si>
  <si>
    <t>ecpjzwhu</t>
  </si>
  <si>
    <t>IT 108</t>
  </si>
  <si>
    <t>lnvlyele</t>
  </si>
  <si>
    <t>pqwtlsoh</t>
  </si>
  <si>
    <t>9:00am-12:00pm</t>
  </si>
  <si>
    <t>dfpgab7h</t>
  </si>
  <si>
    <t>cfcde2gc</t>
  </si>
  <si>
    <t>wibh6pcj</t>
  </si>
  <si>
    <t>3wiwpule</t>
  </si>
  <si>
    <t>ENG 201</t>
  </si>
  <si>
    <t>ds2naojs</t>
  </si>
  <si>
    <t>75agcrz6</t>
  </si>
  <si>
    <t>yl4ywut7</t>
  </si>
  <si>
    <t>n73ecrfc</t>
  </si>
  <si>
    <t>CUBACUB, SAM</t>
  </si>
  <si>
    <t>qaqoizxa</t>
  </si>
  <si>
    <t>borfoocx</t>
  </si>
  <si>
    <t>76vlpfn3</t>
  </si>
  <si>
    <t>LAN ACQ</t>
  </si>
  <si>
    <t>Principles and Theories of Language Acquisition and Learning</t>
  </si>
  <si>
    <t>j3wodksb</t>
  </si>
  <si>
    <t>h72nxskf</t>
  </si>
  <si>
    <t>5u5uhgae</t>
  </si>
  <si>
    <t>TECHWRIT</t>
  </si>
  <si>
    <t>Technical Writing</t>
  </si>
  <si>
    <t>hopnbofo</t>
  </si>
  <si>
    <t>3or5xnlq</t>
  </si>
  <si>
    <t>STARTS</t>
  </si>
  <si>
    <t>Speech and Theater Arts</t>
  </si>
  <si>
    <t>qep4svk2</t>
  </si>
  <si>
    <t>MYTH</t>
  </si>
  <si>
    <t>Mythology and Folklore</t>
  </si>
  <si>
    <t>Dr. J. Dela Pena</t>
  </si>
  <si>
    <t>mrgw4grj</t>
  </si>
  <si>
    <r>
      <rPr>
        <rFont val="Arial"/>
        <b/>
        <color theme="1"/>
        <sz val="15.0"/>
      </rPr>
      <t>6hkwzsjj</t>
    </r>
    <r>
      <rPr>
        <rFont val="Arial"/>
        <color theme="1"/>
        <sz val="15.0"/>
      </rPr>
      <t xml:space="preserve">
</t>
    </r>
  </si>
  <si>
    <t>ibcoeoqo</t>
  </si>
  <si>
    <t>Mr. J. Salazar</t>
  </si>
  <si>
    <t>hxqwj6mm</t>
  </si>
  <si>
    <t>4:30PM TO 6:30PM SATURDAY</t>
  </si>
  <si>
    <t>2g4tdbbg</t>
  </si>
  <si>
    <t>vplhb3zw</t>
  </si>
  <si>
    <t>ENG 301</t>
  </si>
  <si>
    <t>ycpeje3j</t>
  </si>
  <si>
    <t>MM 104</t>
  </si>
  <si>
    <t>qxydq2w5</t>
  </si>
  <si>
    <t>hdboxmza</t>
  </si>
  <si>
    <t>AFROLIT</t>
  </si>
  <si>
    <t>Survey of Afro-Asian Literature</t>
  </si>
  <si>
    <t>6t2rlmve</t>
  </si>
  <si>
    <t>ENAMLIT</t>
  </si>
  <si>
    <t>Survey of English ang American Literature</t>
  </si>
  <si>
    <t>xkafufh4</t>
  </si>
  <si>
    <t>2sih5cle</t>
  </si>
  <si>
    <t>POPLIT</t>
  </si>
  <si>
    <t>Contemporary and Popular Literature</t>
  </si>
  <si>
    <t>qictdbxd</t>
  </si>
  <si>
    <t>dmtqxqgg</t>
  </si>
  <si>
    <t xml:space="preserve">MON </t>
  </si>
  <si>
    <t>PHILIT</t>
  </si>
  <si>
    <t>Survey of Philippine Literature in English</t>
  </si>
  <si>
    <t>7n2kdciw</t>
  </si>
  <si>
    <t>fupg7vfh</t>
  </si>
  <si>
    <t>RESENG 1</t>
  </si>
  <si>
    <t>Language Research 1</t>
  </si>
  <si>
    <t>4pmt4jag</t>
  </si>
  <si>
    <t>obkcmkyg</t>
  </si>
  <si>
    <t>LITCRIT</t>
  </si>
  <si>
    <t>Literary Criticism</t>
  </si>
  <si>
    <t>jzwhvigw</t>
  </si>
  <si>
    <t>byfmto7t</t>
  </si>
  <si>
    <t>Life and Works of Dr. Jose Rizal</t>
  </si>
  <si>
    <t>Tee Jei Lei</t>
  </si>
  <si>
    <t>xnihu7vc</t>
  </si>
  <si>
    <t>Leadership 6 - Mentoring Leadership</t>
  </si>
  <si>
    <t>yflopuyn</t>
  </si>
  <si>
    <t>jlbo6f2c</t>
  </si>
  <si>
    <t>odkju7gz</t>
  </si>
  <si>
    <t>IT 201</t>
  </si>
  <si>
    <t>ah5tgldg</t>
  </si>
  <si>
    <t>ENG 302</t>
  </si>
  <si>
    <t xml:space="preserve">THU </t>
  </si>
  <si>
    <t>32pko6ce</t>
  </si>
  <si>
    <t>DSTRUCTL</t>
  </si>
  <si>
    <t>Data Structures and Algorithms LAB</t>
  </si>
  <si>
    <t>MS. PUNZALAN</t>
  </si>
  <si>
    <t>bzjeekho</t>
  </si>
  <si>
    <t>gbd2t7ic</t>
  </si>
  <si>
    <t>7c3zhkzy</t>
  </si>
  <si>
    <t>larvxkln</t>
  </si>
  <si>
    <t>DSTRUCT</t>
  </si>
  <si>
    <t>Data Structures and Algorithms LEC</t>
  </si>
  <si>
    <t>11:00-12:30</t>
  </si>
  <si>
    <t>y226mf4i</t>
  </si>
  <si>
    <t>5hy453gs</t>
  </si>
  <si>
    <t xml:space="preserve">FROM THU. 11:00-12:30 TO 12:00-1:30  </t>
  </si>
  <si>
    <t>ufaa7s2n</t>
  </si>
  <si>
    <t>INFOMGTL</t>
  </si>
  <si>
    <t>Information Management LAB</t>
  </si>
  <si>
    <t>kair2lze</t>
  </si>
  <si>
    <t>MS. DELOS SANTOS</t>
  </si>
  <si>
    <t>szbpeqxu</t>
  </si>
  <si>
    <t>ey5ypgy5</t>
  </si>
  <si>
    <t>INFOMGT</t>
  </si>
  <si>
    <t>Dr. L. Tulod</t>
  </si>
  <si>
    <t>Information Management LEC</t>
  </si>
  <si>
    <t>hao6wwfb</t>
  </si>
  <si>
    <t>qeof3f3f</t>
  </si>
  <si>
    <t>The Hands of a Leader</t>
  </si>
  <si>
    <t>hbuzhrdz</t>
  </si>
  <si>
    <t>ENG 401</t>
  </si>
  <si>
    <t>NET2L</t>
  </si>
  <si>
    <t>Networking 2 LAB</t>
  </si>
  <si>
    <t>LEAD 8</t>
  </si>
  <si>
    <t>cx6oowsb</t>
  </si>
  <si>
    <t>fefondbc</t>
  </si>
  <si>
    <t>NET2</t>
  </si>
  <si>
    <t>THURS/SAT</t>
  </si>
  <si>
    <t>6:00-9:00/1:30-4:30</t>
  </si>
  <si>
    <t>Networking 2 LEC</t>
  </si>
  <si>
    <t>MM 201</t>
  </si>
  <si>
    <t>jxrhaqdu</t>
  </si>
  <si>
    <t>OOPL</t>
  </si>
  <si>
    <t>Object Oriented Programming LAB</t>
  </si>
  <si>
    <t>MR. VALENCIA</t>
  </si>
  <si>
    <t xml:space="preserve">zgsi5xzv
</t>
  </si>
  <si>
    <t>SOCSCI 101</t>
  </si>
  <si>
    <t>STATRES</t>
  </si>
  <si>
    <t>Statistics for Research</t>
  </si>
  <si>
    <t>OOP</t>
  </si>
  <si>
    <t>Object Oriented Programming LEC</t>
  </si>
  <si>
    <t>Com Lab 4</t>
  </si>
  <si>
    <t>10:30 AM - 12:30 PM</t>
  </si>
  <si>
    <t>xdcemblp</t>
  </si>
  <si>
    <t>FriDay</t>
  </si>
  <si>
    <t>a4s5p5ey</t>
  </si>
  <si>
    <t>BUSLAW</t>
  </si>
  <si>
    <t>Business Law(Obli-Con)</t>
  </si>
  <si>
    <t>Maestro</t>
  </si>
  <si>
    <t>4:00 PM - 6:00 PM</t>
  </si>
  <si>
    <t>uvy2cvdz</t>
  </si>
  <si>
    <t>pf3m6yfy</t>
  </si>
  <si>
    <t>3gnlp2ow</t>
  </si>
  <si>
    <t xml:space="preserve">c2uifncj
</t>
  </si>
  <si>
    <t>PROFELEC1L</t>
  </si>
  <si>
    <t>Professional Elective 1 LAB</t>
  </si>
  <si>
    <t>mtpudrb3</t>
  </si>
  <si>
    <t>MR. DE GUZMAN</t>
  </si>
  <si>
    <t>3pln6e3</t>
  </si>
  <si>
    <t>ABAD, RUBY</t>
  </si>
  <si>
    <t>isyov7oo</t>
  </si>
  <si>
    <t>riy4vwem</t>
  </si>
  <si>
    <t>ubptff6o</t>
  </si>
  <si>
    <t>PROFELEC1</t>
  </si>
  <si>
    <t>Professional Elective 1 LEC</t>
  </si>
  <si>
    <t>d64mvjx2</t>
  </si>
  <si>
    <t>LASANG</t>
  </si>
  <si>
    <t>FOSO</t>
  </si>
  <si>
    <t>Foundation of Social Studies</t>
  </si>
  <si>
    <t>pw6smeup</t>
  </si>
  <si>
    <t>Sosyedad at Literatura/Panitikang Pilipino</t>
  </si>
  <si>
    <t>7gyep66k</t>
  </si>
  <si>
    <t>Exercise-based Fitness Activities</t>
  </si>
  <si>
    <t>1:00-3:00</t>
  </si>
  <si>
    <t>cs6jdjm2</t>
  </si>
  <si>
    <t>PE ROOM 2</t>
  </si>
  <si>
    <t>Dr. April Olet</t>
  </si>
  <si>
    <t>V2qtnwsu</t>
  </si>
  <si>
    <t>Sat 7:30-9:30</t>
  </si>
  <si>
    <t>Leadership 2-Personal Development</t>
  </si>
  <si>
    <t>SYSARCH1L</t>
  </si>
  <si>
    <t>System Integration and Architecture 1 LAB</t>
  </si>
  <si>
    <t>wc3u7wxi</t>
  </si>
  <si>
    <t>MR. QUINTO</t>
  </si>
  <si>
    <t>ACOSTA ,VIVIAN</t>
  </si>
  <si>
    <t>fbiuegqb</t>
  </si>
  <si>
    <t>ft3az55e</t>
  </si>
  <si>
    <t>INTEMAR</t>
  </si>
  <si>
    <t>SYSARCH1</t>
  </si>
  <si>
    <t>International Marketing</t>
  </si>
  <si>
    <t>System Integration and Architecture 1 LEC</t>
  </si>
  <si>
    <t>p77rp4cj</t>
  </si>
  <si>
    <t>SOC 201</t>
  </si>
  <si>
    <t>Venj Gabuya</t>
  </si>
  <si>
    <t>3xwbjmmp</t>
  </si>
  <si>
    <t>a753c4j3</t>
  </si>
  <si>
    <t>COACH JUDE</t>
  </si>
  <si>
    <t>stwunvov</t>
  </si>
  <si>
    <t>IT 202</t>
  </si>
  <si>
    <t>om2t4v6m</t>
  </si>
  <si>
    <t>New Sched: Saturday- 6:00-9:00 PM (Previously Assigned to Dr.Olet)</t>
  </si>
  <si>
    <t>BASMA</t>
  </si>
  <si>
    <t>Basics of School Management and Administration</t>
  </si>
  <si>
    <t>4:30 - 7:30</t>
  </si>
  <si>
    <t>vcuczl2u</t>
  </si>
  <si>
    <t>7:30-10:30 AM</t>
  </si>
  <si>
    <t>7rorkvhg</t>
  </si>
  <si>
    <t>GEO 1</t>
  </si>
  <si>
    <t>Geography 1 - Human Geography</t>
  </si>
  <si>
    <t>khv3wzh3</t>
  </si>
  <si>
    <t>wzfjqxcc</t>
  </si>
  <si>
    <t>MICROECO</t>
  </si>
  <si>
    <t>Micro Economics</t>
  </si>
  <si>
    <t>2cmi4qc4</t>
  </si>
  <si>
    <t>MM 202</t>
  </si>
  <si>
    <t>Ms. L. Varca</t>
  </si>
  <si>
    <t>7nk2mylw</t>
  </si>
  <si>
    <t>ASIA 1</t>
  </si>
  <si>
    <t>Asian Studies - Ancient Asia</t>
  </si>
  <si>
    <t>Dr.  D. Baraquiel</t>
  </si>
  <si>
    <t>3mn67irw</t>
  </si>
  <si>
    <t>SOCIOCUL</t>
  </si>
  <si>
    <t>Socio-Cultural Anthropology</t>
  </si>
  <si>
    <t>Dr. A. Peralta</t>
  </si>
  <si>
    <t>m6ikuq45</t>
  </si>
  <si>
    <t>hks4ycbu</t>
  </si>
  <si>
    <t>7xsf5hmz</t>
  </si>
  <si>
    <t>6j4iqbrw</t>
  </si>
  <si>
    <t>Com Lab2</t>
  </si>
  <si>
    <t>d57o7dhf</t>
  </si>
  <si>
    <t>7g7gv2wj</t>
  </si>
  <si>
    <t>SOC 401</t>
  </si>
  <si>
    <t>4ssekmu4</t>
  </si>
  <si>
    <t>his323ho</t>
  </si>
  <si>
    <t>LAB4</t>
  </si>
  <si>
    <t>URBANO</t>
  </si>
  <si>
    <t>23qy6yvg</t>
  </si>
  <si>
    <t>4:30-7:30/1:30-4:30</t>
  </si>
  <si>
    <t>fso6ess7</t>
  </si>
  <si>
    <t>ACOSTA, VIVIAN</t>
  </si>
  <si>
    <t>wup6xnpm</t>
  </si>
  <si>
    <t>VAL 101</t>
  </si>
  <si>
    <t>mr6pioqe</t>
  </si>
  <si>
    <t>k5fcost3</t>
  </si>
  <si>
    <t>z3newiba</t>
  </si>
  <si>
    <t>h5ge6pwb</t>
  </si>
  <si>
    <t>ovdmsf2e</t>
  </si>
  <si>
    <t>6:00 - 9:00 PM</t>
  </si>
  <si>
    <t>COACH. JUDE</t>
  </si>
  <si>
    <t>fn75kbd</t>
  </si>
  <si>
    <t>Dr. Riziel N. Jumadiao</t>
  </si>
  <si>
    <t>FROM MON. 9:30-11:00 TO 10:30-12:00</t>
  </si>
  <si>
    <t>tfab2o5b</t>
  </si>
  <si>
    <t>SATURDAY schedule as per TL sched</t>
  </si>
  <si>
    <t>xzlbw5e</t>
  </si>
  <si>
    <t>3F/5G</t>
  </si>
  <si>
    <t>3i3iqf7w</t>
  </si>
  <si>
    <t>WF 1:30-3 PM</t>
  </si>
  <si>
    <t>44irgbe4</t>
  </si>
  <si>
    <t>xbtxjns6</t>
  </si>
  <si>
    <t>WEDNESDAY (3-6PM) schedule as per my TL schedule</t>
  </si>
  <si>
    <t xml:space="preserve">fil </t>
  </si>
  <si>
    <t>kgye4o3d</t>
  </si>
  <si>
    <t>SATURDAY/ 3-6 pm schedule.</t>
  </si>
  <si>
    <t>MM 203</t>
  </si>
  <si>
    <t>wfkv6yiu</t>
  </si>
  <si>
    <t>zt3hh65b</t>
  </si>
  <si>
    <t>FOVE</t>
  </si>
  <si>
    <t>Foundation of Values Education</t>
  </si>
  <si>
    <t>iorh5b5a</t>
  </si>
  <si>
    <t>WEDNESDAY 6:00-9:00 roOM 5H</t>
  </si>
  <si>
    <t>2:00-5:00</t>
  </si>
  <si>
    <t>10:30-12:30</t>
  </si>
  <si>
    <t>h37ebm3o</t>
  </si>
  <si>
    <t>ayea3azs</t>
  </si>
  <si>
    <t>m4umch22</t>
  </si>
  <si>
    <t>IT 203 - DISSOLVED</t>
  </si>
  <si>
    <t>pnqi2ds6</t>
  </si>
  <si>
    <t>vpxkuodj</t>
  </si>
  <si>
    <t>VAL 201</t>
  </si>
  <si>
    <t xml:space="preserve">4:30-7:30 </t>
  </si>
  <si>
    <t>mijva2q6</t>
  </si>
  <si>
    <t>bhl3uhzm</t>
  </si>
  <si>
    <t>ted56d7o</t>
  </si>
  <si>
    <t>wa2a6clu</t>
  </si>
  <si>
    <t>FILVAL</t>
  </si>
  <si>
    <t>Filipino Values System</t>
  </si>
  <si>
    <t>7tqlw64f</t>
  </si>
  <si>
    <t>eoenkcci</t>
  </si>
  <si>
    <t>PSYCHVAL</t>
  </si>
  <si>
    <t>Psychological Theories of Values Development</t>
  </si>
  <si>
    <t>yyewmi2m</t>
  </si>
  <si>
    <t>b5xrqwqf</t>
  </si>
  <si>
    <t>zpnggubq</t>
  </si>
  <si>
    <t>DYNREL</t>
  </si>
  <si>
    <t>Dynamics of Intra and Interperonal Relations</t>
  </si>
  <si>
    <t>THUR/FRI</t>
  </si>
  <si>
    <t>4G/5A</t>
  </si>
  <si>
    <t>slalqppt</t>
  </si>
  <si>
    <t>PSYSPRIT</t>
  </si>
  <si>
    <t>Psycho-Spiritual Developmwnt.</t>
  </si>
  <si>
    <t>2:00-3:30</t>
  </si>
  <si>
    <t>pweakqsn</t>
  </si>
  <si>
    <t>dyg63iwy</t>
  </si>
  <si>
    <t>FROM TUE. 2:00-3:30 TO WED. 10:30-12:00</t>
  </si>
  <si>
    <t>qsbwdoir</t>
  </si>
  <si>
    <t>424zc7jm</t>
  </si>
  <si>
    <t>TCP</t>
  </si>
  <si>
    <t>TCP 4</t>
  </si>
  <si>
    <t>CHILD AND ADOLESCENT DEVELOPMENT</t>
  </si>
  <si>
    <t>3xlqwowu</t>
  </si>
  <si>
    <t>MM 301</t>
  </si>
  <si>
    <t>TCP 5</t>
  </si>
  <si>
    <t>DEVELOPMENTAL READING</t>
  </si>
  <si>
    <t>khkkiean</t>
  </si>
  <si>
    <t>TCP 6</t>
  </si>
  <si>
    <t>THE TEACHING PROFESSION</t>
  </si>
  <si>
    <t>Dr. Arnel Peralta</t>
  </si>
  <si>
    <t>istwzsav</t>
  </si>
  <si>
    <t>m3jgq7qh</t>
  </si>
  <si>
    <t>RETMAN</t>
  </si>
  <si>
    <t>Retail Management</t>
  </si>
  <si>
    <t>4ql4hnd4</t>
  </si>
  <si>
    <t>PROSAL</t>
  </si>
  <si>
    <t>Professional Salesmanship</t>
  </si>
  <si>
    <t>fuya6uu</t>
  </si>
  <si>
    <t>BUSRES</t>
  </si>
  <si>
    <t>Business Research</t>
  </si>
  <si>
    <t>1200-300</t>
  </si>
  <si>
    <t>3selhdw2</t>
  </si>
  <si>
    <t>bqwf4nn3</t>
  </si>
  <si>
    <t>FROM WED. 10:30-12:00 TO MON 9:00-10:30</t>
  </si>
  <si>
    <t>IT 204</t>
  </si>
  <si>
    <t>MM 302</t>
  </si>
  <si>
    <t>mlf3sy2u</t>
  </si>
  <si>
    <t>yl6cksxk</t>
  </si>
  <si>
    <t>fqr4rewp</t>
  </si>
  <si>
    <t>ju6ukmum</t>
  </si>
  <si>
    <t>rxcas745</t>
  </si>
  <si>
    <t>geqkt3by</t>
  </si>
  <si>
    <t>MR. RODRIGO</t>
  </si>
  <si>
    <t>dv6i2ref</t>
  </si>
  <si>
    <t>q2fj6a62</t>
  </si>
  <si>
    <t>i52ha73x</t>
  </si>
  <si>
    <t>jzshgbrn</t>
  </si>
  <si>
    <t>MM 303</t>
  </si>
  <si>
    <t>2:30 PM - 4:30 PM</t>
  </si>
  <si>
    <t>podhoxat</t>
  </si>
  <si>
    <t>bsbi3kjp</t>
  </si>
  <si>
    <t>hvrafpvt</t>
  </si>
  <si>
    <t>itx242ix</t>
  </si>
  <si>
    <t>anxwk4s2</t>
  </si>
  <si>
    <t>ynr56urh</t>
  </si>
  <si>
    <t>6k7hppan</t>
  </si>
  <si>
    <t>rsiutq5l</t>
  </si>
  <si>
    <t>sdojpgmb</t>
  </si>
  <si>
    <t>IT 205</t>
  </si>
  <si>
    <t>MM 304</t>
  </si>
  <si>
    <t>sr7cibsa</t>
  </si>
  <si>
    <t>5z6zxiuk</t>
  </si>
  <si>
    <t>iedh6ekb</t>
  </si>
  <si>
    <t>MS. NARCISO</t>
  </si>
  <si>
    <t>h73rhcut</t>
  </si>
  <si>
    <t>vncbvq4p</t>
  </si>
  <si>
    <t>12::00-3:00</t>
  </si>
  <si>
    <t>6b6p7cev</t>
  </si>
  <si>
    <t>eyh75szs</t>
  </si>
  <si>
    <t>pgo3edil</t>
  </si>
  <si>
    <r>
      <rPr>
        <rFont val="Arial"/>
        <b/>
        <color theme="1"/>
        <sz val="15.0"/>
      </rPr>
      <t>elfh63zh</t>
    </r>
    <r>
      <rPr>
        <rFont val="Arial"/>
        <color theme="1"/>
        <sz val="15.0"/>
      </rPr>
      <t xml:space="preserve">
</t>
    </r>
  </si>
  <si>
    <t>3n6d77pt</t>
  </si>
  <si>
    <t>MM 401</t>
  </si>
  <si>
    <t>z5p6u4um</t>
  </si>
  <si>
    <t>3egmdpgn</t>
  </si>
  <si>
    <t>PRACT</t>
  </si>
  <si>
    <t>Practicum/Work Integrated Learning (600 Hours)</t>
  </si>
  <si>
    <t>fdpdsyh3</t>
  </si>
  <si>
    <t>7:30-1:30</t>
  </si>
  <si>
    <t>Tolentino, Ryan</t>
  </si>
  <si>
    <t>2hnhbyp3</t>
  </si>
  <si>
    <t>SPT-MM</t>
  </si>
  <si>
    <t>Special Topics in Marketing Mgt</t>
  </si>
  <si>
    <t>L.A ESCLAREZ</t>
  </si>
  <si>
    <t>tlg4mc3z</t>
  </si>
  <si>
    <t>vr5sntnz</t>
  </si>
  <si>
    <t>MS. GARCIA</t>
  </si>
  <si>
    <t>mpugy7vn</t>
  </si>
  <si>
    <t>MM 402</t>
  </si>
  <si>
    <t>IT 206</t>
  </si>
  <si>
    <t>2bsso6xf</t>
  </si>
  <si>
    <t>1:30-7:30</t>
  </si>
  <si>
    <t>2c6mqxvz</t>
  </si>
  <si>
    <t xml:space="preserve">t6scxkpp
</t>
  </si>
  <si>
    <t>9:00-12:00PM</t>
  </si>
  <si>
    <t>ecixtwh7</t>
  </si>
  <si>
    <t>75kh7f6m</t>
  </si>
  <si>
    <t>MM 403</t>
  </si>
  <si>
    <t>yqx4lgqx</t>
  </si>
  <si>
    <t>MS. FLORES, JV</t>
  </si>
  <si>
    <t>yq5utmhv</t>
  </si>
  <si>
    <t>ut6nr7cl</t>
  </si>
  <si>
    <t>3:00-9:00PM</t>
  </si>
  <si>
    <t>wbkkdwhb</t>
  </si>
  <si>
    <t>12:00-3:00PM</t>
  </si>
  <si>
    <t>vte7wlar</t>
  </si>
  <si>
    <t>ruewcctn</t>
  </si>
  <si>
    <t>qakdi6xl</t>
  </si>
  <si>
    <t>HR 101</t>
  </si>
  <si>
    <t>MS. OLVIS</t>
  </si>
  <si>
    <t>mmalbofx</t>
  </si>
  <si>
    <t>Room</t>
  </si>
  <si>
    <t>Art  Appreciation</t>
  </si>
  <si>
    <t>wwe332ff</t>
  </si>
  <si>
    <t>ANTONIO, ROMMEL</t>
  </si>
  <si>
    <t>ng6ronij</t>
  </si>
  <si>
    <t>qnoignep</t>
  </si>
  <si>
    <t>IT 207</t>
  </si>
  <si>
    <t>Adv Computer Application for Business</t>
  </si>
  <si>
    <t>Com Lab4</t>
  </si>
  <si>
    <t>bbe2syl4</t>
  </si>
  <si>
    <t>Filipino sa Iba't Ibang Disiplina</t>
  </si>
  <si>
    <t>uowarpts</t>
  </si>
  <si>
    <t>The Entrepreneurial MInd</t>
  </si>
  <si>
    <t>cqsjdt3k</t>
  </si>
  <si>
    <t>3ouyvhob</t>
  </si>
  <si>
    <t>TRAVILLA</t>
  </si>
  <si>
    <t>dmgn4rkv</t>
  </si>
  <si>
    <t>25ax53lc</t>
  </si>
  <si>
    <t>ta7s6fv5</t>
  </si>
  <si>
    <t>MARTER, GEZZLE</t>
  </si>
  <si>
    <t>2zyghr7u</t>
  </si>
  <si>
    <t>sanjfaht</t>
  </si>
  <si>
    <t xml:space="preserve">dccuzwuo
</t>
  </si>
  <si>
    <t>Leadership2- Personal Development</t>
  </si>
  <si>
    <t>h7tqmnbr</t>
  </si>
  <si>
    <t>mpw2ivmh</t>
  </si>
  <si>
    <t>5:30 PM - 7:30 PM</t>
  </si>
  <si>
    <t>a2mvrxvs</t>
  </si>
  <si>
    <t>HR 102</t>
  </si>
  <si>
    <t>qx6f6w6y</t>
  </si>
  <si>
    <t>whdoyrcm</t>
  </si>
  <si>
    <t>wseqi6vv</t>
  </si>
  <si>
    <t>pr5awt7o</t>
  </si>
  <si>
    <t>4dpdiqxk</t>
  </si>
  <si>
    <t>Com Lab 2</t>
  </si>
  <si>
    <t>i7e2yjcm</t>
  </si>
  <si>
    <t>REYMOND CUISON</t>
  </si>
  <si>
    <t>f67djmoi</t>
  </si>
  <si>
    <t>CUIZON</t>
  </si>
  <si>
    <t>2dqzaa5v</t>
  </si>
  <si>
    <t>Mathemathic in the Modern World</t>
  </si>
  <si>
    <t>IT 208</t>
  </si>
  <si>
    <t>izq7fc64</t>
  </si>
  <si>
    <t>mtofoyva</t>
  </si>
  <si>
    <t>o7zytyc2</t>
  </si>
  <si>
    <t>yk4ldahg</t>
  </si>
  <si>
    <t>SAT 8:30-10:30 SALAZAR</t>
  </si>
  <si>
    <t>1:00 PM - 3:00 PM</t>
  </si>
  <si>
    <t>jgvynua5</t>
  </si>
  <si>
    <t>mod5a6ux</t>
  </si>
  <si>
    <t>qpi7gknr</t>
  </si>
  <si>
    <t>HR 103</t>
  </si>
  <si>
    <t>xdyhixhy</t>
  </si>
  <si>
    <t>TUE 7:00 PM - 9:00 PM</t>
  </si>
  <si>
    <t>z3nqcri7</t>
  </si>
  <si>
    <t>FRI  2:00 PM - 5:00 PM</t>
  </si>
  <si>
    <t>kvk7cu67</t>
  </si>
  <si>
    <t>lgoeqr4z</t>
  </si>
  <si>
    <t>w3pxxvvx</t>
  </si>
  <si>
    <t>a7emxuqe</t>
  </si>
  <si>
    <t>dxxdni2k</t>
  </si>
  <si>
    <t>7uapnyqz</t>
  </si>
  <si>
    <t>ozljnh5o</t>
  </si>
  <si>
    <t>lz5yu6fc</t>
  </si>
  <si>
    <t>THU 7:30 AM - 9:30 AM</t>
  </si>
  <si>
    <t>MS. FERNANDEZ</t>
  </si>
  <si>
    <t>577dwbpj</t>
  </si>
  <si>
    <t>rb5z2fjz</t>
  </si>
  <si>
    <t>fnjxw4ra</t>
  </si>
  <si>
    <t xml:space="preserve">lqpcfbrl
</t>
  </si>
  <si>
    <t>vtru5fy5</t>
  </si>
  <si>
    <t xml:space="preserve">FROM FRI. 1:30-3:00 TO 12:00-1:30  </t>
  </si>
  <si>
    <t>IT 301</t>
  </si>
  <si>
    <t>ADVMOBL</t>
  </si>
  <si>
    <t>Advance Mobile Computing LAB</t>
  </si>
  <si>
    <t>HR 201</t>
  </si>
  <si>
    <t>MR. CACHO</t>
  </si>
  <si>
    <t>jq57qnzj</t>
  </si>
  <si>
    <t>ADVMOB</t>
  </si>
  <si>
    <t>Advance Mobile Computing LEC</t>
  </si>
  <si>
    <t>ARCHORGL</t>
  </si>
  <si>
    <t>Computer Architecture and Organization LAB</t>
  </si>
  <si>
    <t>MR. CRUZ</t>
  </si>
  <si>
    <t>thhfc3m4</t>
  </si>
  <si>
    <t>x7gyfofe</t>
  </si>
  <si>
    <t>ARCHORG</t>
  </si>
  <si>
    <t>LABLAW</t>
  </si>
  <si>
    <t>Labor Law and Legislation</t>
  </si>
  <si>
    <t>Computer Architecture and Organization LEC</t>
  </si>
  <si>
    <t>12:00-3::00</t>
  </si>
  <si>
    <t>6qypqyqd</t>
  </si>
  <si>
    <t>CAPSTONE1L</t>
  </si>
  <si>
    <t>Capstone Project and Research 1 LAB</t>
  </si>
  <si>
    <t>MS. MAUPAY</t>
  </si>
  <si>
    <t>mxeq655y</t>
  </si>
  <si>
    <t>PROJMAN</t>
  </si>
  <si>
    <t>Project Management</t>
  </si>
  <si>
    <t>CAPSTONE1</t>
  </si>
  <si>
    <t>Capstone Project and Research 1 LEC</t>
  </si>
  <si>
    <t>TELESFORO,BERNANBE</t>
  </si>
  <si>
    <t>satwm47j</t>
  </si>
  <si>
    <t>ADMAN</t>
  </si>
  <si>
    <t>Administrative and Office Management</t>
  </si>
  <si>
    <t>INFOSEC1L</t>
  </si>
  <si>
    <t>Information Assurance and Security 1 LAB</t>
  </si>
  <si>
    <t>jil6a74s</t>
  </si>
  <si>
    <t>7wg2efi5</t>
  </si>
  <si>
    <t>INFOSEC1</t>
  </si>
  <si>
    <t>Information Assurance and Security 1 LEC</t>
  </si>
  <si>
    <t>k7v56zw5</t>
  </si>
  <si>
    <t>TRADEV</t>
  </si>
  <si>
    <t>Training and Development</t>
  </si>
  <si>
    <t>Values Formation 6</t>
  </si>
  <si>
    <t>2xbnea3j</t>
  </si>
  <si>
    <t>trun4cd2</t>
  </si>
  <si>
    <t>gkvte5ft</t>
  </si>
  <si>
    <t>QMTHODS</t>
  </si>
  <si>
    <t>Quantitative Methods</t>
  </si>
  <si>
    <t>Rizal's Life and Works</t>
  </si>
  <si>
    <t>rgci4bkn</t>
  </si>
  <si>
    <t>xdotlidl</t>
  </si>
  <si>
    <t>WEBSYSL</t>
  </si>
  <si>
    <t>Web System and Technologies LAB</t>
  </si>
  <si>
    <t>uygbslda</t>
  </si>
  <si>
    <t>WEBSYS</t>
  </si>
  <si>
    <t>Web System and Technologies LEC</t>
  </si>
  <si>
    <t>HR 202</t>
  </si>
  <si>
    <t>ANTONIO,ROMMEL</t>
  </si>
  <si>
    <t>5r5kj4xe</t>
  </si>
  <si>
    <t>IT 302</t>
  </si>
  <si>
    <t>ozkluksc</t>
  </si>
  <si>
    <t>jwk3cxre</t>
  </si>
  <si>
    <t>tpo5n2jr</t>
  </si>
  <si>
    <t>t35e4b6b</t>
  </si>
  <si>
    <t>5b4juciq</t>
  </si>
  <si>
    <t>lcqegrab</t>
  </si>
  <si>
    <t>46fmjyfg</t>
  </si>
  <si>
    <t>OSIO,FIDEL</t>
  </si>
  <si>
    <t xml:space="preserve">qfiwwuq3
</t>
  </si>
  <si>
    <t xml:space="preserve">q23i7itz
</t>
  </si>
  <si>
    <t>edhwdrvn</t>
  </si>
  <si>
    <t>kqi6gta6</t>
  </si>
  <si>
    <t>MR. BORJA</t>
  </si>
  <si>
    <t>g3lua43g</t>
  </si>
  <si>
    <t>HR 301</t>
  </si>
  <si>
    <t>j7feagzn</t>
  </si>
  <si>
    <t>COMPAD</t>
  </si>
  <si>
    <t>Compensation Administration</t>
  </si>
  <si>
    <t>INSO,DON</t>
  </si>
  <si>
    <t>r4k337zs</t>
  </si>
  <si>
    <t>LOGMAN</t>
  </si>
  <si>
    <t>Logistics Management</t>
  </si>
  <si>
    <t>x5n6cigc</t>
  </si>
  <si>
    <t>mtvyiree</t>
  </si>
  <si>
    <t>ORGDEV</t>
  </si>
  <si>
    <t>Organizational Development</t>
  </si>
  <si>
    <t>qh4ql6fk</t>
  </si>
  <si>
    <t>gzuqxfiz</t>
  </si>
  <si>
    <t>TOLENTINO,RYAN</t>
  </si>
  <si>
    <t>h4timnfy</t>
  </si>
  <si>
    <t>sit7s5nl</t>
  </si>
  <si>
    <t>46pm3of4</t>
  </si>
  <si>
    <t>IT 303</t>
  </si>
  <si>
    <t>2ypnb5vh</t>
  </si>
  <si>
    <t>HR 302</t>
  </si>
  <si>
    <t>3:30 PM - 5:30 PM</t>
  </si>
  <si>
    <t>10:00-1:00</t>
  </si>
  <si>
    <t>hz6albca</t>
  </si>
  <si>
    <t>FALOGME, JEFFREY E.</t>
  </si>
  <si>
    <t>vcbbnykr</t>
  </si>
  <si>
    <t>1:30 PM - 3:30 PM</t>
  </si>
  <si>
    <t>etyehoj4</t>
  </si>
  <si>
    <t>zg45qib7</t>
  </si>
  <si>
    <t>7aqvxznr</t>
  </si>
  <si>
    <t>8:30 AM - 10:30 AM</t>
  </si>
  <si>
    <t>rfk4rfwv</t>
  </si>
  <si>
    <t>ova2c3co</t>
  </si>
  <si>
    <t>kmf2uhye</t>
  </si>
  <si>
    <t>snpxafaa</t>
  </si>
  <si>
    <t>FROM SAT. 1:00-2:30 TO 8:00-9:30</t>
  </si>
  <si>
    <t>f5lcxok5</t>
  </si>
  <si>
    <t>HR 303</t>
  </si>
  <si>
    <t>w7u6w5c6</t>
  </si>
  <si>
    <t>b24hnv7j</t>
  </si>
  <si>
    <t>1:00-4:00</t>
  </si>
  <si>
    <t>u753mink</t>
  </si>
  <si>
    <t>GAGARIN, BERLY</t>
  </si>
  <si>
    <t>dwd3es7q</t>
  </si>
  <si>
    <t>y337qh5m</t>
  </si>
  <si>
    <t>wz4jrcsh</t>
  </si>
  <si>
    <t>IT 304</t>
  </si>
  <si>
    <t>rgstfioc</t>
  </si>
  <si>
    <t>axyktlff</t>
  </si>
  <si>
    <t>HR 401</t>
  </si>
  <si>
    <t>tv3r3nr2</t>
  </si>
  <si>
    <t>Work Integrated Learning (600hrs)</t>
  </si>
  <si>
    <t>3:00-9:00</t>
  </si>
  <si>
    <t>JOSEN</t>
  </si>
  <si>
    <t>SPT-HR</t>
  </si>
  <si>
    <t>zcr5wojp</t>
  </si>
  <si>
    <t>Special Topics in Human in Resource Management</t>
  </si>
  <si>
    <t>OSIO, FIDEL</t>
  </si>
  <si>
    <t>i6kjq7um</t>
  </si>
  <si>
    <t>bizru6dk</t>
  </si>
  <si>
    <t>qt32z6sb</t>
  </si>
  <si>
    <t>HR 402</t>
  </si>
  <si>
    <t>5dykkf5y</t>
  </si>
  <si>
    <t>sfuwgmm5</t>
  </si>
  <si>
    <t>LIM, RON</t>
  </si>
  <si>
    <t>gt6dku6n</t>
  </si>
  <si>
    <t>w65dav2j</t>
  </si>
  <si>
    <t xml:space="preserve">5ucvvczc
</t>
  </si>
  <si>
    <t>sbpam7e4</t>
  </si>
  <si>
    <t>IT 305</t>
  </si>
  <si>
    <t>mqi4vy5s</t>
  </si>
  <si>
    <t>6:00 PM - 9:00 PM</t>
  </si>
  <si>
    <t>MR. ESGUERRA</t>
  </si>
  <si>
    <t>n5uuallr</t>
  </si>
  <si>
    <t>oq2pc6am</t>
  </si>
  <si>
    <t>TUE 7:30 AM - 9:30 AM</t>
  </si>
  <si>
    <t>gkrtnxb3</t>
  </si>
  <si>
    <t>uyilirem</t>
  </si>
  <si>
    <t>7imqel3z</t>
  </si>
  <si>
    <t>gi5e367n</t>
  </si>
  <si>
    <t>MR. GABRIEL</t>
  </si>
  <si>
    <t>fmilkegy</t>
  </si>
  <si>
    <t>IT 306</t>
  </si>
  <si>
    <t>tqqmzs52</t>
  </si>
  <si>
    <t>3:00 PM - 6:00 PM</t>
  </si>
  <si>
    <t>m6nqeoii</t>
  </si>
  <si>
    <t>ldk3wthj</t>
  </si>
  <si>
    <t>kyfv2xuc</t>
  </si>
  <si>
    <t>kykucjda</t>
  </si>
  <si>
    <t>wba6yd24</t>
  </si>
  <si>
    <t>2eu3cxx4</t>
  </si>
  <si>
    <t>IT 307</t>
  </si>
  <si>
    <t>xwzs7egl</t>
  </si>
  <si>
    <t>r5j2pjcp</t>
  </si>
  <si>
    <t>fnirebwu</t>
  </si>
  <si>
    <t>9:30 AM - 11:30 PM</t>
  </si>
  <si>
    <t>xz6ktyqk</t>
  </si>
  <si>
    <t>thlkqkcy</t>
  </si>
  <si>
    <t>oszu6rbw</t>
  </si>
  <si>
    <t>3wo5a4u2</t>
  </si>
  <si>
    <t>yll3dbma</t>
  </si>
  <si>
    <t>IT 401</t>
  </si>
  <si>
    <t>Values Formation 8</t>
  </si>
  <si>
    <t>7:30 AM - 9:00 AM</t>
  </si>
  <si>
    <t>gsy7262q</t>
  </si>
  <si>
    <t>OJT</t>
  </si>
  <si>
    <t>On the Job Training (600 hrs)</t>
  </si>
  <si>
    <t>12:00 PM - 6:00 PM</t>
  </si>
  <si>
    <t>faik6w4p</t>
  </si>
  <si>
    <t>SYSMAINL</t>
  </si>
  <si>
    <t>System Admin and Maintenance LAB</t>
  </si>
  <si>
    <t>9:00 AM - 12:00 PM</t>
  </si>
  <si>
    <t>abnkxolt</t>
  </si>
  <si>
    <t>SYSMAIN</t>
  </si>
  <si>
    <t>System Admin and Maintenance LEC</t>
  </si>
  <si>
    <t>THU 7:00 PM - 9:00 PM</t>
  </si>
  <si>
    <t>IT 402</t>
  </si>
  <si>
    <t>SAT - 9:00 - 10:30 AM</t>
  </si>
  <si>
    <t>xsxrpkfj</t>
  </si>
  <si>
    <t>7:30 AM - 1:30 PM</t>
  </si>
  <si>
    <t>TBA</t>
  </si>
  <si>
    <t>tzv3cygk</t>
  </si>
  <si>
    <t>aycwjnhk</t>
  </si>
  <si>
    <t>IT 403</t>
  </si>
  <si>
    <t xml:space="preserve">wrw23jqt
</t>
  </si>
  <si>
    <t>9:00 AM - 12:00 PM
5:00 PM - 8:00 PM</t>
  </si>
  <si>
    <t>9:00 AM - 3:00 PM</t>
  </si>
  <si>
    <t>nq7uc7jd</t>
  </si>
  <si>
    <t>12:00 PM - 3:00 PM</t>
  </si>
  <si>
    <t>jlfrdrrf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</si>
</sst>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0">
    <font>
      <sz val="10.0"/>
      <color rgb="FF000000"/>
      <name val="Arial"/>
      <scheme val="minor"/>
    </font>
    <font>
      <b/>
      <sz val="11.0"/>
      <color theme="1"/>
      <name val="Arial"/>
    </font>
    <font>
      <sz val="14.0"/>
      <color theme="1"/>
      <name val="Arial"/>
    </font>
    <font>
      <color theme="1"/>
      <name val="Arial"/>
    </font>
    <font>
      <sz val="26.0"/>
      <color theme="1"/>
      <name val="Arial"/>
    </font>
    <font>
      <sz val="11.0"/>
      <color theme="1"/>
      <name val="Calibri"/>
    </font>
    <font>
      <b/>
      <sz val="15.0"/>
      <color rgb="FFFFFFFF"/>
      <name val="Arial"/>
    </font>
    <font/>
    <font>
      <b/>
      <sz val="12.0"/>
      <color theme="1"/>
      <name val="Arial"/>
    </font>
    <font>
      <b/>
      <sz val="15.0"/>
      <color theme="1"/>
      <name val="Arial"/>
    </font>
    <font>
      <b/>
      <color theme="1"/>
      <name val="Arial"/>
    </font>
    <font>
      <sz val="12.0"/>
      <color theme="1"/>
      <name val="Calibri"/>
    </font>
    <font>
      <b/>
      <sz val="26.0"/>
      <color theme="1"/>
      <name val="Arial"/>
    </font>
    <font>
      <color rgb="FF444746"/>
      <name val="&quot;Google Sans&quot;"/>
    </font>
    <font>
      <b/>
      <sz val="13.0"/>
      <color rgb="FF000000"/>
      <name val="Calibri"/>
    </font>
    <font>
      <sz val="11.0"/>
      <color theme="1"/>
      <name val="Arial"/>
    </font>
    <font>
      <sz val="12.0"/>
      <color theme="1"/>
      <name val="Arial"/>
    </font>
    <font>
      <sz val="12.0"/>
      <color rgb="FF444746"/>
      <name val="&quot;Google Sans&quot;"/>
    </font>
    <font>
      <color rgb="FF000000"/>
      <name val="Roboto"/>
    </font>
    <font>
      <color theme="1"/>
      <name val="Google Sans"/>
    </font>
    <font>
      <sz val="14.0"/>
      <color rgb="FF000000"/>
      <name val="&quot;Google Sans&quot;"/>
    </font>
    <font>
      <sz val="11.0"/>
      <color rgb="FF000000"/>
      <name val="&quot;Aptos Narrow&quot;"/>
    </font>
    <font>
      <sz val="11.0"/>
      <color rgb="FF5F6368"/>
      <name val="Roboto"/>
    </font>
    <font>
      <sz val="15.0"/>
      <color theme="1"/>
      <name val="Arial"/>
    </font>
    <font>
      <b/>
      <sz val="12.0"/>
      <color rgb="FF000000"/>
      <name val="&quot;Google Sans&quot;"/>
    </font>
    <font>
      <sz val="11.0"/>
      <color rgb="FF000000"/>
      <name val="&quot;Google Sans&quot;"/>
    </font>
    <font>
      <sz val="10.0"/>
      <color theme="1"/>
      <name val="Arial"/>
    </font>
    <font>
      <b/>
      <i/>
      <color theme="1"/>
      <name val="Arial"/>
    </font>
    <font>
      <sz val="15.0"/>
      <color theme="1"/>
      <name val="Google Sans"/>
    </font>
    <font>
      <sz val="11.0"/>
      <color rgb="FF000000"/>
      <name val="Roboto"/>
    </font>
    <font>
      <b/>
      <sz val="13.0"/>
      <color theme="1"/>
      <name val="Arial"/>
    </font>
    <font>
      <b/>
      <sz val="13.0"/>
      <color theme="1"/>
      <name val="Calibri"/>
    </font>
    <font>
      <sz val="9.0"/>
      <color theme="1"/>
      <name val="Arial"/>
    </font>
    <font>
      <sz val="15.0"/>
      <color rgb="FF444746"/>
      <name val="Google Sans"/>
    </font>
    <font>
      <sz val="13.0"/>
      <color rgb="FF444746"/>
      <name val="&quot;Google Sans&quot;"/>
    </font>
    <font>
      <b/>
      <sz val="11.0"/>
      <color theme="1"/>
      <name val="Calibri"/>
    </font>
    <font>
      <sz val="12.0"/>
      <color rgb="FF000000"/>
      <name val="Calibri"/>
    </font>
    <font>
      <b/>
      <i/>
      <sz val="12.0"/>
      <color theme="1"/>
      <name val="Arial"/>
    </font>
    <font>
      <b/>
      <sz val="12.0"/>
      <color theme="1"/>
      <name val="Calibri"/>
    </font>
    <font>
      <b/>
      <sz val="11.0"/>
      <color rgb="FFFFFFFF"/>
      <name val="Arial"/>
    </font>
    <font>
      <sz val="11.0"/>
      <color rgb="FF000000"/>
      <name val="&quot;Segoe UI Historic&quot;"/>
    </font>
    <font>
      <sz val="12.0"/>
      <color rgb="FF444746"/>
      <name val="Calibri"/>
    </font>
    <font>
      <sz val="12.0"/>
      <color theme="1"/>
      <name val="Google Sans"/>
    </font>
    <font>
      <sz val="11.0"/>
      <color rgb="FFE2E5E9"/>
      <name val="&quot;Segoe UI Historic&quot;"/>
    </font>
    <font>
      <b/>
      <sz val="13.0"/>
      <color rgb="FF5F6368"/>
      <name val="Roboto"/>
    </font>
    <font>
      <sz val="11.0"/>
      <color theme="1"/>
      <name val="Google Sans"/>
    </font>
    <font>
      <color rgb="FF1A73E8"/>
      <name val="Google Sans"/>
    </font>
    <font>
      <b/>
      <sz val="12.0"/>
      <color rgb="FF444746"/>
      <name val="&quot;Google Sans&quot;"/>
    </font>
    <font>
      <b/>
      <sz val="12.0"/>
      <color rgb="FF000000"/>
      <name val="Roboto"/>
    </font>
    <font>
      <sz val="12.0"/>
      <color rgb="FF3C4043"/>
      <name val="Calibri"/>
    </font>
    <font>
      <b/>
      <sz val="14.0"/>
      <color rgb="FF000000"/>
      <name val="Roboto"/>
    </font>
    <font>
      <sz val="11.0"/>
      <color rgb="FF080809"/>
      <name val="Segoe UI Historic"/>
    </font>
    <font>
      <sz val="11.0"/>
      <color rgb="FF000000"/>
      <name val="Arial"/>
    </font>
    <font>
      <b/>
      <color rgb="FFFF0000"/>
      <name val="Arial"/>
    </font>
    <font>
      <sz val="13.0"/>
      <color rgb="FF000000"/>
      <name val="Calibri"/>
    </font>
    <font>
      <sz val="12.0"/>
      <color rgb="FF5F6368"/>
      <name val="Calibri"/>
    </font>
    <font>
      <b/>
      <sz val="12.0"/>
      <color rgb="FF000000"/>
      <name val="Arial"/>
    </font>
    <font>
      <sz val="14.0"/>
      <color theme="1"/>
      <name val="Calibri"/>
    </font>
    <font>
      <sz val="13.0"/>
      <color theme="1"/>
      <name val="Calibri"/>
    </font>
    <font>
      <sz val="12.0"/>
      <color rgb="FF980000"/>
      <name val="Arial"/>
    </font>
    <font>
      <color rgb="FF000000"/>
      <name val="Arial"/>
    </font>
    <font>
      <b/>
      <color rgb="FF444746"/>
      <name val="&quot;Google Sans&quot;"/>
    </font>
    <font>
      <sz val="11.0"/>
      <color rgb="FF1A73E8"/>
      <name val="Google Sans"/>
    </font>
    <font>
      <b/>
      <color rgb="FF000000"/>
      <name val="Roboto"/>
    </font>
    <font>
      <b/>
      <sz val="15.0"/>
      <color rgb="FF444746"/>
      <name val="&quot;Google Sans&quot;"/>
    </font>
    <font>
      <color rgb="FF000000"/>
      <name val="Calibri"/>
    </font>
    <font>
      <sz val="15.0"/>
      <color rgb="FF000000"/>
      <name val="Roboto"/>
    </font>
    <font>
      <b/>
      <sz val="12.0"/>
      <color rgb="FF000000"/>
      <name val="Arial"/>
      <scheme val="minor"/>
    </font>
    <font>
      <sz val="17.0"/>
      <color rgb="FF1A73E8"/>
      <name val="Google Sans"/>
    </font>
    <font>
      <sz val="11.0"/>
      <color rgb="FF080809"/>
      <name val="Arial"/>
    </font>
    <font>
      <sz val="15.0"/>
      <color theme="1"/>
      <name val="Arial"/>
      <scheme val="minor"/>
    </font>
    <font>
      <sz val="14.0"/>
      <color rgb="FF444746"/>
      <name val="&quot;Google Sans&quot;"/>
    </font>
    <font>
      <b/>
      <sz val="13.0"/>
      <color rgb="FF000000"/>
      <name val="Roboto"/>
    </font>
    <font>
      <sz val="11.0"/>
      <color rgb="FFE2E5E9"/>
      <name val="Arial"/>
    </font>
    <font>
      <b/>
      <sz val="14.0"/>
      <color rgb="FF000000"/>
      <name val="&quot;Google Sans&quot;"/>
    </font>
    <font>
      <sz val="21.0"/>
      <color theme="1"/>
      <name val="Arial"/>
    </font>
    <font>
      <sz val="11.0"/>
      <color theme="1"/>
      <name val="Segoe UI Historic"/>
    </font>
    <font>
      <b/>
      <sz val="13.0"/>
      <color theme="1"/>
      <name val="Google Sans"/>
    </font>
    <font>
      <sz val="11.0"/>
      <color rgb="FF444746"/>
      <name val="&quot;Google Sans&quot;"/>
    </font>
    <font>
      <color theme="1"/>
      <name val="Arial"/>
      <scheme val="minor"/>
    </font>
    <font>
      <b/>
      <sz val="11.0"/>
      <color rgb="FF000000"/>
      <name val="Arial"/>
    </font>
    <font>
      <b/>
      <sz val="16.0"/>
      <color rgb="FF444746"/>
      <name val="&quot;Google Sans&quot;"/>
    </font>
    <font>
      <b/>
      <sz val="11.0"/>
      <color rgb="FF444746"/>
      <name val="&quot;Google Sans&quot;"/>
    </font>
    <font>
      <sz val="11.0"/>
      <color rgb="FF000000"/>
      <name val="Calibri"/>
    </font>
    <font>
      <sz val="17.0"/>
      <color rgb="FF444746"/>
      <name val="&quot;Google Sans&quot;"/>
    </font>
    <font>
      <sz val="13.0"/>
      <color theme="1"/>
      <name val="Arial"/>
    </font>
    <font>
      <b/>
      <sz val="14.0"/>
      <color theme="1"/>
      <name val="Calibri"/>
    </font>
    <font>
      <b/>
      <sz val="15.0"/>
      <color rgb="FF980000"/>
      <name val="Lexend"/>
    </font>
    <font>
      <b/>
      <sz val="13.0"/>
      <color rgb="FF000000"/>
      <name val="Arial"/>
      <scheme val="minor"/>
    </font>
    <font>
      <sz val="18.0"/>
      <color theme="1"/>
      <name val="Arial"/>
    </font>
    <font>
      <b/>
      <sz val="9.0"/>
      <color theme="1"/>
      <name val="Arial"/>
    </font>
    <font>
      <b/>
      <sz val="13.0"/>
      <color rgb="FF3C4043"/>
      <name val="Arial"/>
    </font>
    <font>
      <color rgb="FF980000"/>
      <name val="Arial"/>
    </font>
    <font>
      <sz val="22.0"/>
      <color theme="1"/>
      <name val="Arial"/>
    </font>
    <font>
      <sz val="13.0"/>
      <color rgb="FF434343"/>
      <name val="Calibri"/>
    </font>
    <font>
      <sz val="18.0"/>
      <color theme="1"/>
      <name val="Arial"/>
      <scheme val="minor"/>
    </font>
    <font>
      <b/>
      <sz val="15.0"/>
      <color rgb="FF000000"/>
      <name val="Roboto"/>
    </font>
    <font>
      <b/>
      <sz val="12.0"/>
      <color rgb="FFFF0000"/>
      <name val="Arial"/>
    </font>
    <font>
      <sz val="15.0"/>
      <color rgb="FF444746"/>
      <name val="&quot;Google Sans&quot;"/>
    </font>
    <font>
      <sz val="15.0"/>
      <color rgb="FF000000"/>
      <name val="Calibri"/>
    </font>
    <font>
      <sz val="17.0"/>
      <color rgb="FF444746"/>
      <name val="Google Sans"/>
    </font>
    <font>
      <sz val="11.0"/>
      <color rgb="FF444746"/>
      <name val="Google Sans"/>
    </font>
    <font>
      <i/>
      <color theme="1"/>
      <name val="Arial"/>
    </font>
    <font>
      <sz val="12.0"/>
      <color rgb="FF000000"/>
      <name val="Roboto"/>
    </font>
    <font>
      <sz val="8.0"/>
      <color theme="1"/>
      <name val="Arial"/>
    </font>
    <font>
      <b/>
      <sz val="12.0"/>
      <color theme="1"/>
      <name val="Google Sans"/>
    </font>
    <font>
      <sz val="12.0"/>
      <color rgb="FF3C4043"/>
      <name val="Arial"/>
    </font>
    <font>
      <sz val="12.0"/>
      <color rgb="FF3C4043"/>
      <name val="Google Sans Display"/>
    </font>
    <font>
      <sz val="15.0"/>
      <color rgb="FF444746"/>
      <name val="Arial"/>
    </font>
    <font>
      <sz val="16.0"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434343"/>
        <bgColor rgb="FF434343"/>
      </patternFill>
    </fill>
    <fill>
      <patternFill patternType="solid">
        <fgColor rgb="FF303030"/>
        <bgColor rgb="FF303030"/>
      </patternFill>
    </fill>
    <fill>
      <patternFill patternType="solid">
        <fgColor rgb="FFF0F0F0"/>
        <bgColor rgb="FFF0F0F0"/>
      </patternFill>
    </fill>
    <fill>
      <patternFill patternType="solid">
        <fgColor rgb="FFE9EEF6"/>
        <bgColor rgb="FFE9EEF6"/>
      </patternFill>
    </fill>
    <fill>
      <patternFill patternType="solid">
        <fgColor rgb="FFDEEAF6"/>
        <bgColor rgb="FFDEEAF6"/>
      </patternFill>
    </fill>
    <fill>
      <patternFill patternType="solid">
        <fgColor rgb="FFE6B8AF"/>
        <bgColor rgb="FFE6B8AF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</border>
    <border>
      <right style="medium">
        <color rgb="FF000000"/>
      </right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4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1" numFmtId="0" xfId="0" applyAlignment="1" applyBorder="1" applyFill="1" applyFont="1">
      <alignment horizontal="center"/>
    </xf>
    <xf borderId="1" fillId="3" fontId="2" numFmtId="0" xfId="0" applyAlignment="1" applyBorder="1" applyFill="1" applyFont="1">
      <alignment horizontal="center"/>
    </xf>
    <xf borderId="1" fillId="3" fontId="2" numFmtId="0" xfId="0" applyAlignment="1" applyBorder="1" applyFont="1">
      <alignment horizontal="center" shrinkToFit="0" wrapText="1"/>
    </xf>
    <xf borderId="0" fillId="0" fontId="3" numFmtId="0" xfId="0" applyFont="1"/>
    <xf borderId="2" fillId="0" fontId="4" numFmtId="0" xfId="0" applyAlignment="1" applyBorder="1" applyFont="1">
      <alignment textRotation="90"/>
    </xf>
    <xf borderId="1" fillId="4" fontId="5" numFmtId="0" xfId="0" applyAlignment="1" applyBorder="1" applyFill="1" applyFont="1">
      <alignment horizontal="center"/>
    </xf>
    <xf borderId="1" fillId="0" fontId="5" numFmtId="0" xfId="0" applyBorder="1" applyFont="1"/>
    <xf borderId="2" fillId="0" fontId="4" numFmtId="0" xfId="0" applyAlignment="1" applyBorder="1" applyFont="1">
      <alignment horizontal="center" textRotation="90"/>
    </xf>
    <xf borderId="1" fillId="0" fontId="5" numFmtId="0" xfId="0" applyAlignment="1" applyBorder="1" applyFont="1">
      <alignment horizontal="center" readingOrder="0"/>
    </xf>
    <xf borderId="3" fillId="5" fontId="6" numFmtId="0" xfId="0" applyAlignment="1" applyBorder="1" applyFill="1" applyFont="1">
      <alignment horizontal="center"/>
    </xf>
    <xf borderId="0" fillId="6" fontId="4" numFmtId="0" xfId="0" applyAlignment="1" applyFill="1" applyFont="1">
      <alignment textRotation="90"/>
    </xf>
    <xf borderId="4" fillId="0" fontId="7" numFmtId="0" xfId="0" applyBorder="1" applyFont="1"/>
    <xf borderId="1" fillId="0" fontId="5" numFmtId="0" xfId="0" applyAlignment="1" applyBorder="1" applyFont="1">
      <alignment horizontal="center"/>
    </xf>
    <xf borderId="0" fillId="0" fontId="8" numFmtId="0" xfId="0" applyAlignment="1" applyFont="1">
      <alignment horizontal="center" vertical="center"/>
    </xf>
    <xf borderId="1" fillId="0" fontId="3" numFmtId="0" xfId="0" applyAlignment="1" applyBorder="1" applyFont="1">
      <alignment horizontal="center" readingOrder="0" vertical="bottom"/>
    </xf>
    <xf borderId="3" fillId="7" fontId="9" numFmtId="0" xfId="0" applyAlignment="1" applyBorder="1" applyFill="1" applyFont="1">
      <alignment horizontal="center"/>
    </xf>
    <xf borderId="5" fillId="0" fontId="7" numFmtId="0" xfId="0" applyBorder="1" applyFont="1"/>
    <xf borderId="5" fillId="0" fontId="3" numFmtId="0" xfId="0" applyAlignment="1" applyBorder="1" applyFont="1">
      <alignment horizontal="center" readingOrder="0" vertical="bottom"/>
    </xf>
    <xf borderId="1" fillId="8" fontId="8" numFmtId="0" xfId="0" applyAlignment="1" applyBorder="1" applyFill="1" applyFont="1">
      <alignment horizontal="center" vertical="bottom"/>
    </xf>
    <xf borderId="1" fillId="0" fontId="3" numFmtId="0" xfId="0" applyBorder="1" applyFont="1"/>
    <xf borderId="0" fillId="6" fontId="3" numFmtId="0" xfId="0" applyFont="1"/>
    <xf borderId="6" fillId="0" fontId="7" numFmtId="0" xfId="0" applyBorder="1" applyFont="1"/>
    <xf borderId="1" fillId="9" fontId="1" numFmtId="0" xfId="0" applyAlignment="1" applyBorder="1" applyFill="1" applyFont="1">
      <alignment horizontal="center"/>
    </xf>
    <xf borderId="2" fillId="0" fontId="3" numFmtId="0" xfId="0" applyAlignment="1" applyBorder="1" applyFont="1">
      <alignment horizontal="center" readingOrder="0"/>
    </xf>
    <xf borderId="1" fillId="3" fontId="1" numFmtId="0" xfId="0" applyAlignment="1" applyBorder="1" applyFont="1">
      <alignment horizontal="center" readingOrder="0"/>
    </xf>
    <xf borderId="1" fillId="3" fontId="3" numFmtId="0" xfId="0" applyAlignment="1" applyBorder="1" applyFont="1">
      <alignment shrinkToFit="0" wrapText="1"/>
    </xf>
    <xf borderId="1" fillId="3" fontId="1" numFmtId="0" xfId="0" applyAlignment="1" applyBorder="1" applyFont="1">
      <alignment horizontal="center" shrinkToFit="0" wrapText="1"/>
    </xf>
    <xf borderId="1" fillId="3" fontId="3" numFmtId="0" xfId="0" applyAlignment="1" applyBorder="1" applyFont="1">
      <alignment horizontal="center" shrinkToFit="0" wrapText="1"/>
    </xf>
    <xf borderId="1" fillId="2" fontId="10" numFmtId="0" xfId="0" applyAlignment="1" applyBorder="1" applyFont="1">
      <alignment horizontal="center" readingOrder="0"/>
    </xf>
    <xf borderId="1" fillId="3" fontId="8" numFmtId="0" xfId="0" applyAlignment="1" applyBorder="1" applyFont="1">
      <alignment horizontal="center"/>
    </xf>
    <xf borderId="1" fillId="3" fontId="8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horizontal="center" vertical="bottom"/>
    </xf>
    <xf borderId="1" fillId="0" fontId="11" numFmtId="0" xfId="0" applyAlignment="1" applyBorder="1" applyFont="1">
      <alignment vertical="bottom"/>
    </xf>
    <xf borderId="1" fillId="0" fontId="11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/>
    </xf>
    <xf borderId="1" fillId="0" fontId="11" numFmtId="0" xfId="0" applyAlignment="1" applyBorder="1" applyFont="1">
      <alignment horizontal="center" readingOrder="0"/>
    </xf>
    <xf borderId="0" fillId="0" fontId="12" numFmtId="0" xfId="0" applyAlignment="1" applyFont="1">
      <alignment horizontal="center" textRotation="90" vertical="center"/>
    </xf>
    <xf borderId="0" fillId="6" fontId="13" numFmtId="0" xfId="0" applyAlignment="1" applyFont="1">
      <alignment horizontal="center" readingOrder="0"/>
    </xf>
    <xf borderId="1" fillId="6" fontId="14" numFmtId="0" xfId="0" applyAlignment="1" applyBorder="1" applyFont="1">
      <alignment horizontal="center" readingOrder="0" shrinkToFit="0" vertical="center" wrapText="1"/>
    </xf>
    <xf borderId="1" fillId="6" fontId="13" numFmtId="0" xfId="0" applyAlignment="1" applyBorder="1" applyFont="1">
      <alignment readingOrder="0"/>
    </xf>
    <xf borderId="3" fillId="10" fontId="6" numFmtId="0" xfId="0" applyAlignment="1" applyBorder="1" applyFill="1" applyFont="1">
      <alignment horizontal="center"/>
    </xf>
    <xf borderId="1" fillId="0" fontId="15" numFmtId="0" xfId="0" applyAlignment="1" applyBorder="1" applyFont="1">
      <alignment horizontal="center" vertical="bottom"/>
    </xf>
    <xf borderId="2" fillId="4" fontId="5" numFmtId="0" xfId="0" applyAlignment="1" applyBorder="1" applyFont="1">
      <alignment horizontal="center"/>
    </xf>
    <xf borderId="2" fillId="0" fontId="5" numFmtId="0" xfId="0" applyBorder="1" applyFont="1"/>
    <xf borderId="1" fillId="0" fontId="16" numFmtId="0" xfId="0" applyAlignment="1" applyBorder="1" applyFont="1">
      <alignment horizontal="center" readingOrder="0"/>
    </xf>
    <xf borderId="2" fillId="0" fontId="5" numFmtId="0" xfId="0" applyAlignment="1" applyBorder="1" applyFont="1">
      <alignment horizontal="center" readingOrder="0"/>
    </xf>
    <xf borderId="1" fillId="6" fontId="3" numFmtId="0" xfId="0" applyAlignment="1" applyBorder="1" applyFont="1">
      <alignment horizontal="center"/>
    </xf>
    <xf borderId="1" fillId="6" fontId="11" numFmtId="0" xfId="0" applyAlignment="1" applyBorder="1" applyFont="1">
      <alignment horizontal="center" readingOrder="0" vertical="bottom"/>
    </xf>
    <xf borderId="2" fillId="0" fontId="5" numFmtId="0" xfId="0" applyAlignment="1" applyBorder="1" applyFont="1">
      <alignment horizontal="center"/>
    </xf>
    <xf borderId="1" fillId="6" fontId="17" numFmtId="0" xfId="0" applyAlignment="1" applyBorder="1" applyFont="1">
      <alignment horizontal="center" readingOrder="0"/>
    </xf>
    <xf borderId="5" fillId="6" fontId="3" numFmtId="0" xfId="0" applyAlignment="1" applyBorder="1" applyFont="1">
      <alignment horizontal="center" readingOrder="0" vertical="bottom"/>
    </xf>
    <xf borderId="0" fillId="6" fontId="18" numFmtId="0" xfId="0" applyFont="1"/>
    <xf borderId="2" fillId="6" fontId="19" numFmtId="0" xfId="0" applyAlignment="1" applyBorder="1" applyFont="1">
      <alignment horizontal="center" readingOrder="0" vertical="bottom"/>
    </xf>
    <xf borderId="1" fillId="6" fontId="3" numFmtId="0" xfId="0" applyBorder="1" applyFont="1"/>
    <xf borderId="1" fillId="6" fontId="18" numFmtId="0" xfId="0" applyAlignment="1" applyBorder="1" applyFont="1">
      <alignment horizontal="center" readingOrder="0"/>
    </xf>
    <xf borderId="1" fillId="6" fontId="14" numFmtId="0" xfId="0" applyAlignment="1" applyBorder="1" applyFont="1">
      <alignment horizontal="center" readingOrder="0" vertical="center"/>
    </xf>
    <xf borderId="1" fillId="6" fontId="18" numFmtId="0" xfId="0" applyAlignment="1" applyBorder="1" applyFont="1">
      <alignment horizontal="center" readingOrder="0" vertical="bottom"/>
    </xf>
    <xf borderId="0" fillId="6" fontId="20" numFmtId="0" xfId="0" applyAlignment="1" applyFont="1">
      <alignment horizontal="center" readingOrder="0"/>
    </xf>
    <xf borderId="1" fillId="0" fontId="5" numFmtId="0" xfId="0" applyAlignment="1" applyBorder="1" applyFont="1">
      <alignment shrinkToFit="0" vertical="bottom" wrapText="1"/>
    </xf>
    <xf borderId="1" fillId="6" fontId="3" numFmtId="0" xfId="0" applyAlignment="1" applyBorder="1" applyFont="1">
      <alignment vertical="bottom"/>
    </xf>
    <xf borderId="1" fillId="6" fontId="3" numFmtId="0" xfId="0" applyAlignment="1" applyBorder="1" applyFont="1">
      <alignment horizontal="center" readingOrder="0" vertical="bottom"/>
    </xf>
    <xf borderId="7" fillId="6" fontId="3" numFmtId="0" xfId="0" applyAlignment="1" applyBorder="1" applyFont="1">
      <alignment horizontal="center" readingOrder="0" vertical="bottom"/>
    </xf>
    <xf borderId="1" fillId="0" fontId="5" numFmtId="0" xfId="0" applyAlignment="1" applyBorder="1" applyFont="1">
      <alignment horizontal="center" shrinkToFit="0" vertical="bottom" wrapText="1"/>
    </xf>
    <xf borderId="1" fillId="0" fontId="11" numFmtId="0" xfId="0" applyAlignment="1" applyBorder="1" applyFont="1">
      <alignment readingOrder="0" vertical="bottom"/>
    </xf>
    <xf borderId="1" fillId="0" fontId="21" numFmtId="0" xfId="0" applyAlignment="1" applyBorder="1" applyFont="1">
      <alignment horizontal="center" readingOrder="0" shrinkToFit="0" vertical="bottom" wrapText="0"/>
    </xf>
    <xf borderId="1" fillId="0" fontId="5" numFmtId="0" xfId="0" applyAlignment="1" applyBorder="1" applyFont="1">
      <alignment horizontal="center" shrinkToFit="0" vertical="bottom" wrapText="1"/>
    </xf>
    <xf borderId="1" fillId="0" fontId="21" numFmtId="0" xfId="0" applyAlignment="1" applyBorder="1" applyFont="1">
      <alignment horizontal="center" readingOrder="0" shrinkToFit="0" wrapText="0"/>
    </xf>
    <xf borderId="0" fillId="6" fontId="22" numFmtId="0" xfId="0" applyAlignment="1" applyFont="1">
      <alignment horizontal="center" readingOrder="0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vertical="bottom"/>
    </xf>
    <xf borderId="1" fillId="6" fontId="14" numFmtId="0" xfId="0" applyAlignment="1" applyBorder="1" applyFont="1">
      <alignment horizontal="center" readingOrder="0"/>
    </xf>
    <xf borderId="1" fillId="0" fontId="23" numFmtId="0" xfId="0" applyAlignment="1" applyBorder="1" applyFont="1">
      <alignment horizontal="center" readingOrder="0" vertical="center"/>
    </xf>
    <xf borderId="0" fillId="6" fontId="24" numFmtId="0" xfId="0" applyAlignment="1" applyFont="1">
      <alignment horizontal="center" readingOrder="0"/>
    </xf>
    <xf borderId="0" fillId="6" fontId="18" numFmtId="0" xfId="0" applyAlignment="1" applyFont="1">
      <alignment readingOrder="0"/>
    </xf>
    <xf borderId="0" fillId="6" fontId="25" numFmtId="0" xfId="0" applyAlignment="1" applyFont="1">
      <alignment horizontal="center" readingOrder="0"/>
    </xf>
    <xf borderId="0" fillId="6" fontId="17" numFmtId="0" xfId="0" applyAlignment="1" applyFont="1">
      <alignment horizontal="center" readingOrder="0"/>
    </xf>
    <xf borderId="1" fillId="6" fontId="26" numFmtId="0" xfId="0" applyAlignment="1" applyBorder="1" applyFont="1">
      <alignment horizontal="center" readingOrder="0"/>
    </xf>
    <xf borderId="1" fillId="6" fontId="3" numFmtId="0" xfId="0" applyAlignment="1" applyBorder="1" applyFont="1">
      <alignment horizontal="center" readingOrder="0"/>
    </xf>
    <xf borderId="2" fillId="0" fontId="3" numFmtId="0" xfId="0" applyAlignment="1" applyBorder="1" applyFont="1">
      <alignment horizontal="center" vertical="center"/>
    </xf>
    <xf borderId="1" fillId="0" fontId="15" numFmtId="0" xfId="0" applyAlignment="1" applyBorder="1" applyFont="1">
      <alignment horizontal="center" readingOrder="0"/>
    </xf>
    <xf borderId="1" fillId="6" fontId="26" numFmtId="0" xfId="0" applyAlignment="1" applyBorder="1" applyFont="1">
      <alignment horizontal="center" readingOrder="0" vertical="bottom"/>
    </xf>
    <xf borderId="2" fillId="0" fontId="23" numFmtId="0" xfId="0" applyAlignment="1" applyBorder="1" applyFont="1">
      <alignment horizontal="center" readingOrder="0" vertical="center"/>
    </xf>
    <xf borderId="7" fillId="6" fontId="3" numFmtId="0" xfId="0" applyAlignment="1" applyBorder="1" applyFont="1">
      <alignment horizontal="center" vertical="bottom"/>
    </xf>
    <xf borderId="8" fillId="0" fontId="7" numFmtId="0" xfId="0" applyBorder="1" applyFont="1"/>
    <xf borderId="3" fillId="0" fontId="27" numFmtId="0" xfId="0" applyAlignment="1" applyBorder="1" applyFont="1">
      <alignment horizontal="center"/>
    </xf>
    <xf borderId="1" fillId="6" fontId="25" numFmtId="0" xfId="0" applyAlignment="1" applyBorder="1" applyFont="1">
      <alignment horizontal="center" readingOrder="0"/>
    </xf>
    <xf borderId="1" fillId="0" fontId="10" numFmtId="0" xfId="0" applyAlignment="1" applyBorder="1" applyFont="1">
      <alignment horizontal="center"/>
    </xf>
    <xf borderId="9" fillId="6" fontId="28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/>
    </xf>
    <xf borderId="1" fillId="6" fontId="29" numFmtId="0" xfId="0" applyAlignment="1" applyBorder="1" applyFont="1">
      <alignment horizontal="center" readingOrder="0"/>
    </xf>
    <xf borderId="0" fillId="0" fontId="3" numFmtId="0" xfId="0" applyAlignment="1" applyFont="1">
      <alignment horizontal="center"/>
    </xf>
    <xf borderId="1" fillId="6" fontId="16" numFmtId="0" xfId="0" applyAlignment="1" applyBorder="1" applyFont="1">
      <alignment horizontal="center" readingOrder="0" vertical="bottom"/>
    </xf>
    <xf borderId="7" fillId="6" fontId="30" numFmtId="0" xfId="0" applyAlignment="1" applyBorder="1" applyFont="1">
      <alignment horizontal="center" readingOrder="0" vertical="bottom"/>
    </xf>
    <xf borderId="1" fillId="0" fontId="27" numFmtId="0" xfId="0" applyAlignment="1" applyBorder="1" applyFont="1">
      <alignment horizontal="center"/>
    </xf>
    <xf borderId="8" fillId="0" fontId="15" numFmtId="0" xfId="0" applyAlignment="1" applyBorder="1" applyFont="1">
      <alignment horizontal="center" readingOrder="0"/>
    </xf>
    <xf borderId="1" fillId="6" fontId="23" numFmtId="0" xfId="0" applyAlignment="1" applyBorder="1" applyFont="1">
      <alignment horizontal="center" readingOrder="0" vertical="bottom"/>
    </xf>
    <xf borderId="1" fillId="0" fontId="23" numFmtId="0" xfId="0" applyAlignment="1" applyBorder="1" applyFont="1">
      <alignment horizontal="center" vertical="center"/>
    </xf>
    <xf borderId="1" fillId="6" fontId="3" numFmtId="0" xfId="0" applyAlignment="1" applyBorder="1" applyFont="1">
      <alignment horizontal="center"/>
    </xf>
    <xf borderId="0" fillId="0" fontId="4" numFmtId="0" xfId="0" applyAlignment="1" applyFont="1">
      <alignment textRotation="90"/>
    </xf>
    <xf borderId="0" fillId="6" fontId="3" numFmtId="0" xfId="0" applyAlignment="1" applyFont="1">
      <alignment horizontal="center"/>
    </xf>
    <xf borderId="1" fillId="3" fontId="10" numFmtId="0" xfId="0" applyAlignment="1" applyBorder="1" applyFont="1">
      <alignment horizontal="center" readingOrder="0"/>
    </xf>
    <xf borderId="0" fillId="6" fontId="4" numFmtId="0" xfId="0" applyAlignment="1" applyFont="1">
      <alignment readingOrder="0" textRotation="90"/>
    </xf>
    <xf borderId="3" fillId="7" fontId="9" numFmtId="0" xfId="0" applyAlignment="1" applyBorder="1" applyFont="1">
      <alignment horizontal="center" readingOrder="0"/>
    </xf>
    <xf borderId="1" fillId="6" fontId="11" numFmtId="0" xfId="0" applyAlignment="1" applyBorder="1" applyFont="1">
      <alignment horizontal="center" readingOrder="0" vertical="bottom"/>
    </xf>
    <xf borderId="1" fillId="2" fontId="10" numFmtId="0" xfId="0" applyAlignment="1" applyBorder="1" applyFont="1">
      <alignment readingOrder="0"/>
    </xf>
    <xf borderId="1" fillId="6" fontId="31" numFmtId="0" xfId="0" applyAlignment="1" applyBorder="1" applyFont="1">
      <alignment horizontal="center"/>
    </xf>
    <xf borderId="1" fillId="0" fontId="10" numFmtId="0" xfId="0" applyAlignment="1" applyBorder="1" applyFont="1">
      <alignment horizontal="center" readingOrder="0"/>
    </xf>
    <xf borderId="1" fillId="0" fontId="11" numFmtId="0" xfId="0" applyAlignment="1" applyBorder="1" applyFont="1">
      <alignment horizontal="center"/>
    </xf>
    <xf borderId="1" fillId="6" fontId="32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center"/>
    </xf>
    <xf borderId="10" fillId="6" fontId="33" numFmtId="0" xfId="0" applyAlignment="1" applyBorder="1" applyFont="1">
      <alignment horizontal="center" shrinkToFit="0" vertical="center" wrapText="1"/>
    </xf>
    <xf borderId="2" fillId="0" fontId="11" numFmtId="0" xfId="0" applyAlignment="1" applyBorder="1" applyFont="1">
      <alignment horizontal="center" vertical="bottom"/>
    </xf>
    <xf borderId="2" fillId="0" fontId="11" numFmtId="0" xfId="0" applyAlignment="1" applyBorder="1" applyFont="1">
      <alignment vertical="bottom"/>
    </xf>
    <xf borderId="2" fillId="0" fontId="11" numFmtId="0" xfId="0" applyAlignment="1" applyBorder="1" applyFont="1">
      <alignment horizontal="center" readingOrder="0" vertical="bottom"/>
    </xf>
    <xf borderId="8" fillId="0" fontId="3" numFmtId="0" xfId="0" applyAlignment="1" applyBorder="1" applyFont="1">
      <alignment horizontal="center" readingOrder="0"/>
    </xf>
    <xf borderId="1" fillId="6" fontId="15" numFmtId="0" xfId="0" applyAlignment="1" applyBorder="1" applyFont="1">
      <alignment horizontal="center" readingOrder="0" vertical="bottom"/>
    </xf>
    <xf borderId="0" fillId="6" fontId="34" numFmtId="0" xfId="0" applyAlignment="1" applyFont="1">
      <alignment horizontal="center" readingOrder="0"/>
    </xf>
    <xf borderId="1" fillId="0" fontId="3" numFmtId="0" xfId="0" applyAlignment="1" applyBorder="1" applyFont="1">
      <alignment readingOrder="0"/>
    </xf>
    <xf borderId="7" fillId="0" fontId="7" numFmtId="0" xfId="0" applyBorder="1" applyFont="1"/>
    <xf borderId="1" fillId="6" fontId="31" numFmtId="0" xfId="0" applyAlignment="1" applyBorder="1" applyFont="1">
      <alignment horizontal="center" vertical="bottom"/>
    </xf>
    <xf borderId="1" fillId="6" fontId="13" numFmtId="0" xfId="0" applyAlignment="1" applyBorder="1" applyFont="1">
      <alignment horizontal="center" readingOrder="0"/>
    </xf>
    <xf borderId="1" fillId="6" fontId="35" numFmtId="0" xfId="0" applyAlignment="1" applyBorder="1" applyFont="1">
      <alignment horizontal="left" readingOrder="0" vertical="bottom"/>
    </xf>
    <xf borderId="1" fillId="6" fontId="36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readingOrder="0" vertical="bottom"/>
    </xf>
    <xf borderId="0" fillId="6" fontId="28" numFmtId="0" xfId="0" applyAlignment="1" applyFont="1">
      <alignment horizontal="center" readingOrder="0" vertical="bottom"/>
    </xf>
    <xf borderId="1" fillId="0" fontId="9" numFmtId="0" xfId="0" applyAlignment="1" applyBorder="1" applyFont="1">
      <alignment horizontal="center" readingOrder="0" vertical="bottom"/>
    </xf>
    <xf borderId="0" fillId="0" fontId="10" numFmtId="0" xfId="0" applyAlignment="1" applyFont="1">
      <alignment horizontal="center" vertical="center"/>
    </xf>
    <xf borderId="1" fillId="6" fontId="3" numFmtId="0" xfId="0" applyAlignment="1" applyBorder="1" applyFont="1">
      <alignment horizontal="center" vertical="bottom"/>
    </xf>
    <xf borderId="3" fillId="0" fontId="37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center" vertical="bottom"/>
    </xf>
    <xf borderId="0" fillId="6" fontId="3" numFmtId="0" xfId="0" applyAlignment="1" applyFont="1">
      <alignment horizontal="center" readingOrder="0" vertical="bottom"/>
    </xf>
    <xf borderId="1" fillId="6" fontId="15" numFmtId="0" xfId="0" applyAlignment="1" applyBorder="1" applyFont="1">
      <alignment horizontal="center" vertical="bottom"/>
    </xf>
    <xf borderId="0" fillId="0" fontId="3" numFmtId="0" xfId="0" applyAlignment="1" applyFont="1">
      <alignment horizontal="center" vertical="center"/>
    </xf>
    <xf borderId="1" fillId="6" fontId="38" numFmtId="0" xfId="0" applyAlignment="1" applyBorder="1" applyFont="1">
      <alignment horizontal="center" readingOrder="0" vertical="bottom"/>
    </xf>
    <xf borderId="0" fillId="6" fontId="39" numFmtId="0" xfId="0" applyAlignment="1" applyFont="1">
      <alignment horizontal="center" readingOrder="0"/>
    </xf>
    <xf borderId="1" fillId="6" fontId="5" numFmtId="0" xfId="0" applyAlignment="1" applyBorder="1" applyFont="1">
      <alignment horizontal="center" readingOrder="0" vertical="bottom"/>
    </xf>
    <xf borderId="0" fillId="6" fontId="40" numFmtId="0" xfId="0" applyAlignment="1" applyFont="1">
      <alignment horizontal="center" readingOrder="0"/>
    </xf>
    <xf borderId="5" fillId="0" fontId="11" numFmtId="0" xfId="0" applyAlignment="1" applyBorder="1" applyFont="1">
      <alignment horizontal="center" readingOrder="0"/>
    </xf>
    <xf borderId="1" fillId="0" fontId="35" numFmtId="0" xfId="0" applyAlignment="1" applyBorder="1" applyFont="1">
      <alignment horizontal="center" readingOrder="0"/>
    </xf>
    <xf borderId="1" fillId="6" fontId="41" numFmtId="0" xfId="0" applyAlignment="1" applyBorder="1" applyFont="1">
      <alignment horizontal="center" readingOrder="0"/>
    </xf>
    <xf borderId="1" fillId="7" fontId="3" numFmtId="0" xfId="0" applyAlignment="1" applyBorder="1" applyFont="1">
      <alignment readingOrder="0"/>
    </xf>
    <xf borderId="5" fillId="0" fontId="3" numFmtId="0" xfId="0" applyAlignment="1" applyBorder="1" applyFont="1">
      <alignment horizontal="center" vertical="bottom"/>
    </xf>
    <xf borderId="1" fillId="0" fontId="15" numFmtId="0" xfId="0" applyAlignment="1" applyBorder="1" applyFont="1">
      <alignment horizontal="center" vertical="bottom"/>
    </xf>
    <xf borderId="1" fillId="0" fontId="15" numFmtId="0" xfId="0" applyAlignment="1" applyBorder="1" applyFont="1">
      <alignment horizontal="center" vertical="bottom"/>
    </xf>
    <xf borderId="1" fillId="6" fontId="31" numFmtId="0" xfId="0" applyAlignment="1" applyBorder="1" applyFont="1">
      <alignment horizontal="center" shrinkToFit="0" vertical="bottom" wrapText="1"/>
    </xf>
    <xf borderId="8" fillId="0" fontId="15" numFmtId="0" xfId="0" applyAlignment="1" applyBorder="1" applyFont="1">
      <alignment horizontal="center" vertical="bottom"/>
    </xf>
    <xf borderId="1" fillId="6" fontId="32" numFmtId="0" xfId="0" applyAlignment="1" applyBorder="1" applyFont="1">
      <alignment horizontal="center" vertical="bottom"/>
    </xf>
    <xf borderId="1" fillId="6" fontId="15" numFmtId="0" xfId="0" applyAlignment="1" applyBorder="1" applyFont="1">
      <alignment horizontal="center" vertical="bottom"/>
    </xf>
    <xf borderId="3" fillId="5" fontId="6" numFmtId="0" xfId="0" applyAlignment="1" applyBorder="1" applyFont="1">
      <alignment horizontal="center" readingOrder="0"/>
    </xf>
    <xf borderId="7" fillId="6" fontId="42" numFmtId="0" xfId="0" applyAlignment="1" applyBorder="1" applyFont="1">
      <alignment horizontal="center" vertical="bottom"/>
    </xf>
    <xf borderId="0" fillId="6" fontId="42" numFmtId="0" xfId="0" applyAlignment="1" applyFont="1">
      <alignment horizontal="center" readingOrder="0" vertical="bottom"/>
    </xf>
    <xf borderId="1" fillId="6" fontId="31" numFmtId="0" xfId="0" applyAlignment="1" applyBorder="1" applyFont="1">
      <alignment horizontal="center" vertical="bottom"/>
    </xf>
    <xf borderId="0" fillId="11" fontId="43" numFmtId="0" xfId="0" applyAlignment="1" applyFill="1" applyFont="1">
      <alignment horizontal="center" readingOrder="0"/>
    </xf>
    <xf borderId="1" fillId="6" fontId="3" numFmtId="0" xfId="0" applyAlignment="1" applyBorder="1" applyFont="1">
      <alignment horizontal="center" readingOrder="0" vertical="center"/>
    </xf>
    <xf borderId="1" fillId="6" fontId="18" numFmtId="0" xfId="0" applyAlignment="1" applyBorder="1" applyFont="1">
      <alignment horizontal="center"/>
    </xf>
    <xf borderId="8" fillId="0" fontId="3" numFmtId="0" xfId="0" applyAlignment="1" applyBorder="1" applyFont="1">
      <alignment horizontal="center" readingOrder="0" vertical="bottom"/>
    </xf>
    <xf borderId="10" fillId="6" fontId="33" numFmtId="0" xfId="0" applyAlignment="1" applyBorder="1" applyFont="1">
      <alignment horizontal="center" vertical="center"/>
    </xf>
    <xf borderId="0" fillId="6" fontId="44" numFmtId="0" xfId="0" applyAlignment="1" applyFont="1">
      <alignment horizontal="center" readingOrder="0"/>
    </xf>
    <xf borderId="5" fillId="0" fontId="11" numFmtId="0" xfId="0" applyAlignment="1" applyBorder="1" applyFont="1">
      <alignment horizontal="center"/>
    </xf>
    <xf borderId="1" fillId="0" fontId="35" numFmtId="0" xfId="0" applyAlignment="1" applyBorder="1" applyFont="1">
      <alignment horizontal="center"/>
    </xf>
    <xf borderId="0" fillId="6" fontId="41" numFmtId="0" xfId="0" applyAlignment="1" applyFont="1">
      <alignment horizontal="center" readingOrder="0"/>
    </xf>
    <xf borderId="0" fillId="6" fontId="18" numFmtId="0" xfId="0" applyAlignment="1" applyFont="1">
      <alignment horizontal="center" readingOrder="0"/>
    </xf>
    <xf borderId="1" fillId="4" fontId="11" numFmtId="0" xfId="0" applyAlignment="1" applyBorder="1" applyFont="1">
      <alignment horizontal="center" vertical="bottom"/>
    </xf>
    <xf borderId="1" fillId="4" fontId="11" numFmtId="0" xfId="0" applyAlignment="1" applyBorder="1" applyFont="1">
      <alignment vertical="bottom"/>
    </xf>
    <xf borderId="1" fillId="4" fontId="11" numFmtId="0" xfId="0" applyAlignment="1" applyBorder="1" applyFont="1">
      <alignment horizontal="center" readingOrder="0" vertical="bottom"/>
    </xf>
    <xf borderId="1" fillId="6" fontId="3" numFmtId="0" xfId="0" applyAlignment="1" applyBorder="1" applyFont="1">
      <alignment readingOrder="0" vertical="bottom"/>
    </xf>
    <xf borderId="1" fillId="6" fontId="45" numFmtId="0" xfId="0" applyAlignment="1" applyBorder="1" applyFont="1">
      <alignment horizontal="center" readingOrder="0" vertical="bottom"/>
    </xf>
    <xf borderId="1" fillId="3" fontId="15" numFmtId="0" xfId="0" applyAlignment="1" applyBorder="1" applyFont="1">
      <alignment readingOrder="0" shrinkToFit="0" wrapText="1"/>
    </xf>
    <xf borderId="1" fillId="6" fontId="46" numFmtId="0" xfId="0" applyAlignment="1" applyBorder="1" applyFont="1">
      <alignment horizontal="center" readingOrder="0" vertical="bottom"/>
    </xf>
    <xf borderId="1" fillId="6" fontId="47" numFmtId="0" xfId="0" applyAlignment="1" applyBorder="1" applyFont="1">
      <alignment horizontal="center" readingOrder="0"/>
    </xf>
    <xf borderId="1" fillId="3" fontId="3" numFmtId="0" xfId="0" applyAlignment="1" applyBorder="1" applyFont="1">
      <alignment horizontal="center"/>
    </xf>
    <xf borderId="8" fillId="0" fontId="5" numFmtId="0" xfId="0" applyAlignment="1" applyBorder="1" applyFont="1">
      <alignment horizontal="center" vertical="bottom"/>
    </xf>
    <xf borderId="1" fillId="6" fontId="48" numFmtId="0" xfId="0" applyAlignment="1" applyBorder="1" applyFont="1">
      <alignment horizontal="center" readingOrder="0"/>
    </xf>
    <xf borderId="1" fillId="0" fontId="38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 readingOrder="0"/>
    </xf>
    <xf borderId="7" fillId="6" fontId="42" numFmtId="0" xfId="0" applyAlignment="1" applyBorder="1" applyFont="1">
      <alignment horizontal="center" readingOrder="0" vertical="bottom"/>
    </xf>
    <xf borderId="1" fillId="6" fontId="24" numFmtId="0" xfId="0" applyAlignment="1" applyBorder="1" applyFont="1">
      <alignment horizontal="center" readingOrder="0"/>
    </xf>
    <xf borderId="8" fillId="6" fontId="15" numFmtId="0" xfId="0" applyAlignment="1" applyBorder="1" applyFont="1">
      <alignment horizontal="center" readingOrder="0" vertical="bottom"/>
    </xf>
    <xf borderId="7" fillId="6" fontId="15" numFmtId="0" xfId="0" applyAlignment="1" applyBorder="1" applyFont="1">
      <alignment horizontal="center" readingOrder="0" vertical="bottom"/>
    </xf>
    <xf borderId="0" fillId="6" fontId="18" numFmtId="0" xfId="0" applyAlignment="1" applyFont="1">
      <alignment horizontal="center"/>
    </xf>
    <xf borderId="3" fillId="4" fontId="27" numFmtId="0" xfId="0" applyAlignment="1" applyBorder="1" applyFont="1">
      <alignment horizontal="center"/>
    </xf>
    <xf borderId="1" fillId="4" fontId="27" numFmtId="0" xfId="0" applyAlignment="1" applyBorder="1" applyFont="1">
      <alignment horizontal="center"/>
    </xf>
    <xf borderId="1" fillId="6" fontId="49" numFmtId="0" xfId="0" applyAlignment="1" applyBorder="1" applyFont="1">
      <alignment horizontal="center" readingOrder="0" vertical="bottom"/>
    </xf>
    <xf borderId="1" fillId="6" fontId="50" numFmtId="0" xfId="0" applyAlignment="1" applyBorder="1" applyFont="1">
      <alignment horizontal="center" readingOrder="0"/>
    </xf>
    <xf borderId="11" fillId="6" fontId="15" numFmtId="0" xfId="0" applyAlignment="1" applyBorder="1" applyFont="1">
      <alignment horizontal="center" readingOrder="0" vertical="bottom"/>
    </xf>
    <xf borderId="8" fillId="6" fontId="15" numFmtId="0" xfId="0" applyAlignment="1" applyBorder="1" applyFont="1">
      <alignment horizontal="center" vertical="bottom"/>
    </xf>
    <xf borderId="9" fillId="6" fontId="24" numFmtId="0" xfId="0" applyAlignment="1" applyBorder="1" applyFont="1">
      <alignment horizontal="center" readingOrder="0"/>
    </xf>
    <xf borderId="0" fillId="12" fontId="51" numFmtId="0" xfId="0" applyAlignment="1" applyFill="1" applyFont="1">
      <alignment horizontal="center" readingOrder="0" vertical="bottom"/>
    </xf>
    <xf borderId="1" fillId="0" fontId="36" numFmtId="0" xfId="0" applyAlignment="1" applyBorder="1" applyFont="1">
      <alignment horizontal="center" readingOrder="0" vertical="bottom"/>
    </xf>
    <xf borderId="0" fillId="0" fontId="3" numFmtId="0" xfId="0" applyAlignment="1" applyFont="1">
      <alignment horizontal="center" readingOrder="0" vertical="bottom"/>
    </xf>
    <xf borderId="12" fillId="0" fontId="11" numFmtId="0" xfId="0" applyAlignment="1" applyBorder="1" applyFont="1">
      <alignment horizontal="center" readingOrder="0" vertical="bottom"/>
    </xf>
    <xf borderId="1" fillId="0" fontId="10" numFmtId="0" xfId="0" applyAlignment="1" applyBorder="1" applyFont="1">
      <alignment readingOrder="0"/>
    </xf>
    <xf borderId="1" fillId="6" fontId="10" numFmtId="0" xfId="0" applyAlignment="1" applyBorder="1" applyFont="1">
      <alignment horizontal="center" readingOrder="0" vertical="bottom"/>
    </xf>
    <xf borderId="1" fillId="0" fontId="52" numFmtId="0" xfId="0" applyAlignment="1" applyBorder="1" applyFont="1">
      <alignment readingOrder="0" shrinkToFit="0" vertical="bottom" wrapText="0"/>
    </xf>
    <xf borderId="8" fillId="6" fontId="15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left"/>
    </xf>
    <xf borderId="1" fillId="0" fontId="53" numFmtId="0" xfId="0" applyAlignment="1" applyBorder="1" applyFont="1">
      <alignment horizontal="center" readingOrder="0" vertical="bottom"/>
    </xf>
    <xf borderId="1" fillId="0" fontId="5" numFmtId="0" xfId="0" applyAlignment="1" applyBorder="1" applyFont="1">
      <alignment horizontal="left" vertical="bottom"/>
    </xf>
    <xf borderId="1" fillId="0" fontId="54" numFmtId="0" xfId="0" applyAlignment="1" applyBorder="1" applyFont="1">
      <alignment horizontal="center" readingOrder="0"/>
    </xf>
    <xf borderId="0" fillId="6" fontId="55" numFmtId="0" xfId="0" applyAlignment="1" applyFont="1">
      <alignment horizontal="center" readingOrder="0" vertical="bottom"/>
    </xf>
    <xf borderId="1" fillId="0" fontId="56" numFmtId="0" xfId="0" applyAlignment="1" applyBorder="1" applyFont="1">
      <alignment horizontal="center" readingOrder="0" vertical="bottom"/>
    </xf>
    <xf borderId="1" fillId="6" fontId="36" numFmtId="0" xfId="0" applyAlignment="1" applyBorder="1" applyFont="1">
      <alignment horizontal="center" readingOrder="0" vertical="bottom"/>
    </xf>
    <xf borderId="1" fillId="6" fontId="15" numFmtId="0" xfId="0" applyAlignment="1" applyBorder="1" applyFont="1">
      <alignment horizontal="center" vertical="bottom"/>
    </xf>
    <xf borderId="1" fillId="0" fontId="16" numFmtId="0" xfId="0" applyAlignment="1" applyBorder="1" applyFont="1">
      <alignment horizontal="center" readingOrder="0" vertical="bottom"/>
    </xf>
    <xf borderId="1" fillId="6" fontId="57" numFmtId="0" xfId="0" applyAlignment="1" applyBorder="1" applyFont="1">
      <alignment horizontal="center" readingOrder="0" vertical="bottom"/>
    </xf>
    <xf borderId="1" fillId="6" fontId="58" numFmtId="0" xfId="0" applyAlignment="1" applyBorder="1" applyFont="1">
      <alignment horizontal="center" shrinkToFit="0" vertical="bottom" wrapText="1"/>
    </xf>
    <xf borderId="0" fillId="0" fontId="15" numFmtId="0" xfId="0" applyAlignment="1" applyFont="1">
      <alignment horizontal="center" readingOrder="0" vertical="bottom"/>
    </xf>
    <xf borderId="1" fillId="0" fontId="59" numFmtId="0" xfId="0" applyAlignment="1" applyBorder="1" applyFont="1">
      <alignment horizontal="center" readingOrder="0" vertical="bottom"/>
    </xf>
    <xf borderId="1" fillId="0" fontId="60" numFmtId="0" xfId="0" applyAlignment="1" applyBorder="1" applyFont="1">
      <alignment horizontal="center" readingOrder="0" shrinkToFit="0" vertical="bottom" wrapText="0"/>
    </xf>
    <xf borderId="12" fillId="0" fontId="3" numFmtId="0" xfId="0" applyAlignment="1" applyBorder="1" applyFont="1">
      <alignment horizontal="center" readingOrder="0" vertical="bottom"/>
    </xf>
    <xf borderId="1" fillId="0" fontId="11" numFmtId="0" xfId="0" applyAlignment="1" applyBorder="1" applyFont="1">
      <alignment horizontal="center" readingOrder="0" vertical="bottom"/>
    </xf>
    <xf borderId="1" fillId="6" fontId="61" numFmtId="0" xfId="0" applyAlignment="1" applyBorder="1" applyFont="1">
      <alignment horizontal="center" readingOrder="0"/>
    </xf>
    <xf borderId="1" fillId="0" fontId="62" numFmtId="0" xfId="0" applyAlignment="1" applyBorder="1" applyFont="1">
      <alignment horizontal="center" readingOrder="0" vertical="bottom"/>
    </xf>
    <xf borderId="7" fillId="6" fontId="24" numFmtId="0" xfId="0" applyAlignment="1" applyBorder="1" applyFont="1">
      <alignment horizontal="center" readingOrder="0"/>
    </xf>
    <xf borderId="0" fillId="6" fontId="29" numFmtId="0" xfId="0" applyAlignment="1" applyFont="1">
      <alignment horizontal="center" readingOrder="0"/>
    </xf>
    <xf borderId="0" fillId="6" fontId="63" numFmtId="0" xfId="0" applyAlignment="1" applyFont="1">
      <alignment horizontal="center" readingOrder="0"/>
    </xf>
    <xf borderId="0" fillId="6" fontId="64" numFmtId="0" xfId="0" applyAlignment="1" applyFont="1">
      <alignment horizontal="center" readingOrder="0"/>
    </xf>
    <xf borderId="8" fillId="0" fontId="65" numFmtId="0" xfId="0" applyAlignment="1" applyBorder="1" applyFont="1">
      <alignment horizontal="center" readingOrder="0" vertical="bottom"/>
    </xf>
    <xf borderId="0" fillId="0" fontId="65" numFmtId="0" xfId="0" applyAlignment="1" applyFont="1">
      <alignment readingOrder="0" shrinkToFit="0" vertical="bottom" wrapText="0"/>
    </xf>
    <xf borderId="0" fillId="6" fontId="66" numFmtId="0" xfId="0" applyAlignment="1" applyFont="1">
      <alignment horizontal="center" readingOrder="0"/>
    </xf>
    <xf borderId="1" fillId="6" fontId="31" numFmtId="0" xfId="0" applyAlignment="1" applyBorder="1" applyFont="1">
      <alignment horizontal="center" vertical="bottom"/>
    </xf>
    <xf borderId="1" fillId="0" fontId="15" numFmtId="0" xfId="0" applyAlignment="1" applyBorder="1" applyFont="1">
      <alignment readingOrder="0" vertical="bottom"/>
    </xf>
    <xf borderId="0" fillId="6" fontId="3" numFmtId="0" xfId="0" applyAlignment="1" applyFont="1">
      <alignment horizontal="center" vertical="bottom"/>
    </xf>
    <xf borderId="1" fillId="6" fontId="31" numFmtId="0" xfId="0" applyAlignment="1" applyBorder="1" applyFont="1">
      <alignment horizontal="center" shrinkToFit="0" vertical="bottom" wrapText="1"/>
    </xf>
    <xf borderId="0" fillId="0" fontId="4" numFmtId="0" xfId="0" applyAlignment="1" applyFont="1">
      <alignment readingOrder="0" textRotation="90"/>
    </xf>
    <xf borderId="1" fillId="3" fontId="3" numFmtId="0" xfId="0" applyAlignment="1" applyBorder="1" applyFont="1">
      <alignment horizontal="center" readingOrder="0"/>
    </xf>
    <xf borderId="1" fillId="6" fontId="67" numFmtId="0" xfId="0" applyAlignment="1" applyBorder="1" applyFont="1">
      <alignment horizontal="center" readingOrder="0"/>
    </xf>
    <xf borderId="1" fillId="0" fontId="5" numFmtId="0" xfId="0" applyAlignment="1" applyBorder="1" applyFont="1">
      <alignment vertical="bottom"/>
    </xf>
    <xf borderId="1" fillId="0" fontId="52" numFmtId="0" xfId="0" applyAlignment="1" applyBorder="1" applyFont="1">
      <alignment horizontal="center" readingOrder="0" shrinkToFit="0" vertical="bottom" wrapText="0"/>
    </xf>
    <xf borderId="0" fillId="6" fontId="11" numFmtId="0" xfId="0" applyAlignment="1" applyFont="1">
      <alignment horizontal="center" readingOrder="0" vertical="bottom"/>
    </xf>
    <xf borderId="1" fillId="0" fontId="36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vertical="bottom"/>
    </xf>
    <xf borderId="12" fillId="0" fontId="11" numFmtId="0" xfId="0" applyAlignment="1" applyBorder="1" applyFont="1">
      <alignment horizontal="center" readingOrder="0" vertical="bottom"/>
    </xf>
    <xf borderId="1" fillId="6" fontId="18" numFmtId="0" xfId="0" applyBorder="1" applyFont="1"/>
    <xf borderId="1" fillId="6" fontId="29" numFmtId="0" xfId="0" applyAlignment="1" applyBorder="1" applyFont="1">
      <alignment horizontal="center" readingOrder="0"/>
    </xf>
    <xf borderId="1" fillId="6" fontId="68" numFmtId="0" xfId="0" applyAlignment="1" applyBorder="1" applyFont="1">
      <alignment horizontal="center" vertical="bottom"/>
    </xf>
    <xf borderId="0" fillId="12" fontId="69" numFmtId="0" xfId="0" applyAlignment="1" applyFont="1">
      <alignment readingOrder="0"/>
    </xf>
    <xf borderId="1" fillId="0" fontId="15" numFmtId="0" xfId="0" applyAlignment="1" applyBorder="1" applyFont="1">
      <alignment horizontal="center" readingOrder="0" vertical="bottom"/>
    </xf>
    <xf borderId="1" fillId="0" fontId="70" numFmtId="0" xfId="0" applyAlignment="1" applyBorder="1" applyFont="1">
      <alignment horizontal="center" readingOrder="0"/>
    </xf>
    <xf borderId="0" fillId="6" fontId="18" numFmtId="0" xfId="0" applyFont="1"/>
    <xf borderId="0" fillId="13" fontId="71" numFmtId="0" xfId="0" applyAlignment="1" applyFill="1" applyFont="1">
      <alignment horizontal="center" readingOrder="0"/>
    </xf>
    <xf borderId="0" fillId="6" fontId="72" numFmtId="0" xfId="0" applyAlignment="1" applyFont="1">
      <alignment horizontal="center" readingOrder="0"/>
    </xf>
    <xf borderId="2" fillId="0" fontId="3" numFmtId="0" xfId="0" applyAlignment="1" applyBorder="1" applyFont="1">
      <alignment horizontal="center" vertical="bottom"/>
    </xf>
    <xf borderId="1" fillId="6" fontId="18" numFmtId="0" xfId="0" applyAlignment="1" applyBorder="1" applyFont="1">
      <alignment horizontal="center"/>
    </xf>
    <xf borderId="0" fillId="6" fontId="48" numFmtId="0" xfId="0" applyAlignment="1" applyFont="1">
      <alignment horizontal="center" readingOrder="0"/>
    </xf>
    <xf borderId="1" fillId="6" fontId="3" numFmtId="0" xfId="0" applyAlignment="1" applyBorder="1" applyFont="1">
      <alignment horizontal="center" vertical="bottom"/>
    </xf>
    <xf borderId="0" fillId="6" fontId="73" numFmtId="0" xfId="0" applyAlignment="1" applyFont="1">
      <alignment horizontal="center" readingOrder="0"/>
    </xf>
    <xf borderId="1" fillId="6" fontId="42" numFmtId="0" xfId="0" applyAlignment="1" applyBorder="1" applyFont="1">
      <alignment horizontal="center" readingOrder="0" vertical="bottom"/>
    </xf>
    <xf borderId="0" fillId="6" fontId="68" numFmtId="0" xfId="0" applyAlignment="1" applyFont="1">
      <alignment horizontal="center" vertical="bottom"/>
    </xf>
    <xf borderId="7" fillId="6" fontId="74" numFmtId="0" xfId="0" applyAlignment="1" applyBorder="1" applyFont="1">
      <alignment horizontal="center" readingOrder="0"/>
    </xf>
    <xf borderId="0" fillId="4" fontId="3" numFmtId="0" xfId="0" applyFont="1"/>
    <xf borderId="0" fillId="0" fontId="75" numFmtId="0" xfId="0" applyAlignment="1" applyFont="1">
      <alignment textRotation="90"/>
    </xf>
    <xf borderId="13" fillId="6" fontId="31" numFmtId="0" xfId="0" applyAlignment="1" applyBorder="1" applyFont="1">
      <alignment horizontal="center"/>
    </xf>
    <xf borderId="1" fillId="0" fontId="5" numFmtId="0" xfId="0" applyAlignment="1" applyBorder="1" applyFont="1">
      <alignment horizontal="center" readingOrder="0" vertical="bottom"/>
    </xf>
    <xf borderId="1" fillId="0" fontId="31" numFmtId="0" xfId="0" applyAlignment="1" applyBorder="1" applyFont="1">
      <alignment horizontal="center" vertical="bottom"/>
    </xf>
    <xf borderId="1" fillId="0" fontId="5" numFmtId="0" xfId="0" applyAlignment="1" applyBorder="1" applyFont="1">
      <alignment readingOrder="0" vertical="bottom"/>
    </xf>
    <xf borderId="0" fillId="0" fontId="3" numFmtId="0" xfId="0" applyAlignment="1" applyFont="1">
      <alignment readingOrder="0"/>
    </xf>
    <xf borderId="1" fillId="0" fontId="5" numFmtId="0" xfId="0" applyAlignment="1" applyBorder="1" applyFont="1">
      <alignment horizontal="left" vertical="bottom"/>
    </xf>
    <xf borderId="14" fillId="0" fontId="3" numFmtId="0" xfId="0" applyBorder="1" applyFont="1"/>
    <xf borderId="9" fillId="0" fontId="3" numFmtId="0" xfId="0" applyBorder="1" applyFont="1"/>
    <xf borderId="9" fillId="0" fontId="3" numFmtId="0" xfId="0" applyAlignment="1" applyBorder="1" applyFont="1">
      <alignment horizontal="center"/>
    </xf>
    <xf borderId="7" fillId="0" fontId="3" numFmtId="0" xfId="0" applyBorder="1" applyFont="1"/>
    <xf borderId="0" fillId="4" fontId="4" numFmtId="0" xfId="0" applyAlignment="1" applyFont="1">
      <alignment textRotation="90"/>
    </xf>
    <xf borderId="0" fillId="4" fontId="9" numFmtId="0" xfId="0" applyAlignment="1" applyFont="1">
      <alignment horizontal="center"/>
    </xf>
    <xf borderId="1" fillId="6" fontId="11" numFmtId="0" xfId="0" applyAlignment="1" applyBorder="1" applyFont="1">
      <alignment horizontal="center" vertical="bottom"/>
    </xf>
    <xf borderId="1" fillId="4" fontId="1" numFmtId="0" xfId="0" applyAlignment="1" applyBorder="1" applyFont="1">
      <alignment horizontal="center"/>
    </xf>
    <xf borderId="1" fillId="0" fontId="38" numFmtId="0" xfId="0" applyAlignment="1" applyBorder="1" applyFont="1">
      <alignment horizontal="center" readingOrder="0" vertical="bottom"/>
    </xf>
    <xf borderId="0" fillId="6" fontId="46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76" numFmtId="0" xfId="0" applyAlignment="1" applyFont="1">
      <alignment horizontal="center" readingOrder="0" vertical="bottom"/>
    </xf>
    <xf borderId="1" fillId="6" fontId="77" numFmtId="0" xfId="0" applyAlignment="1" applyBorder="1" applyFont="1">
      <alignment horizontal="center" readingOrder="0" vertical="bottom"/>
    </xf>
    <xf borderId="0" fillId="6" fontId="78" numFmtId="0" xfId="0" applyAlignment="1" applyFont="1">
      <alignment horizontal="center" readingOrder="0"/>
    </xf>
    <xf borderId="9" fillId="6" fontId="13" numFmtId="0" xfId="0" applyAlignment="1" applyBorder="1" applyFont="1">
      <alignment horizontal="center" readingOrder="0"/>
    </xf>
    <xf borderId="4" fillId="6" fontId="24" numFmtId="0" xfId="0" applyAlignment="1" applyBorder="1" applyFont="1">
      <alignment horizontal="center" readingOrder="0"/>
    </xf>
    <xf borderId="1" fillId="0" fontId="36" numFmtId="0" xfId="0" applyAlignment="1" applyBorder="1" applyFont="1">
      <alignment horizontal="left" readingOrder="0" vertical="top"/>
    </xf>
    <xf borderId="1" fillId="0" fontId="36" numFmtId="0" xfId="0" applyAlignment="1" applyBorder="1" applyFont="1">
      <alignment readingOrder="0" shrinkToFit="0" wrapText="0"/>
    </xf>
    <xf borderId="4" fillId="6" fontId="18" numFmtId="0" xfId="0" applyAlignment="1" applyBorder="1" applyFont="1">
      <alignment horizontal="center" readingOrder="0"/>
    </xf>
    <xf borderId="7" fillId="0" fontId="5" numFmtId="0" xfId="0" applyAlignment="1" applyBorder="1" applyFont="1">
      <alignment horizontal="center" vertical="bottom"/>
    </xf>
    <xf borderId="0" fillId="0" fontId="79" numFmtId="0" xfId="0" applyAlignment="1" applyFont="1">
      <alignment horizontal="center" readingOrder="0"/>
    </xf>
    <xf borderId="1" fillId="0" fontId="35" numFmtId="0" xfId="0" applyAlignment="1" applyBorder="1" applyFont="1">
      <alignment horizontal="left" vertical="bottom"/>
    </xf>
    <xf borderId="0" fillId="12" fontId="69" numFmtId="0" xfId="0" applyAlignment="1" applyFont="1">
      <alignment horizontal="center" readingOrder="0" vertical="bottom"/>
    </xf>
    <xf borderId="7" fillId="6" fontId="5" numFmtId="0" xfId="0" applyAlignment="1" applyBorder="1" applyFont="1">
      <alignment horizontal="center" readingOrder="0" vertical="bottom"/>
    </xf>
    <xf borderId="0" fillId="0" fontId="5" numFmtId="0" xfId="0" applyAlignment="1" applyFont="1">
      <alignment horizontal="center" readingOrder="0" vertical="bottom"/>
    </xf>
    <xf borderId="1" fillId="6" fontId="80" numFmtId="0" xfId="0" applyAlignment="1" applyBorder="1" applyFont="1">
      <alignment horizontal="center" readingOrder="0"/>
    </xf>
    <xf borderId="1" fillId="6" fontId="22" numFmtId="0" xfId="0" applyAlignment="1" applyBorder="1" applyFont="1">
      <alignment horizontal="center" readingOrder="0"/>
    </xf>
    <xf borderId="0" fillId="0" fontId="11" numFmtId="0" xfId="0" applyAlignment="1" applyFont="1">
      <alignment horizontal="center" vertical="bottom"/>
    </xf>
    <xf borderId="1" fillId="0" fontId="11" numFmtId="0" xfId="0" applyAlignment="1" applyBorder="1" applyFont="1">
      <alignment horizontal="center" readingOrder="0" shrinkToFit="0" vertical="bottom" wrapText="1"/>
    </xf>
    <xf borderId="0" fillId="6" fontId="38" numFmtId="0" xfId="0" applyAlignment="1" applyFont="1">
      <alignment horizontal="center" readingOrder="0" vertical="bottom"/>
    </xf>
    <xf borderId="1" fillId="6" fontId="5" numFmtId="0" xfId="0" applyAlignment="1" applyBorder="1" applyFont="1">
      <alignment vertical="bottom"/>
    </xf>
    <xf borderId="1" fillId="0" fontId="5" numFmtId="0" xfId="0" applyAlignment="1" applyBorder="1" applyFont="1">
      <alignment horizontal="center" vertical="bottom"/>
    </xf>
    <xf borderId="1" fillId="6" fontId="5" numFmtId="0" xfId="0" applyAlignment="1" applyBorder="1" applyFont="1">
      <alignment horizontal="center" vertical="bottom"/>
    </xf>
    <xf borderId="0" fillId="6" fontId="81" numFmtId="0" xfId="0" applyAlignment="1" applyFont="1">
      <alignment readingOrder="0"/>
    </xf>
    <xf borderId="0" fillId="6" fontId="48" numFmtId="0" xfId="0" applyAlignment="1" applyFont="1">
      <alignment readingOrder="0"/>
    </xf>
    <xf borderId="1" fillId="6" fontId="82" numFmtId="0" xfId="0" applyAlignment="1" applyBorder="1" applyFont="1">
      <alignment horizontal="center" readingOrder="0"/>
    </xf>
    <xf borderId="0" fillId="6" fontId="18" numFmtId="0" xfId="0" applyAlignment="1" applyFont="1">
      <alignment horizontal="center"/>
    </xf>
    <xf borderId="0" fillId="6" fontId="47" numFmtId="0" xfId="0" applyAlignment="1" applyFont="1">
      <alignment horizontal="center" readingOrder="0"/>
    </xf>
    <xf borderId="1" fillId="0" fontId="65" numFmtId="0" xfId="0" applyAlignment="1" applyBorder="1" applyFont="1">
      <alignment horizontal="center" readingOrder="0" vertical="bottom"/>
    </xf>
    <xf borderId="1" fillId="0" fontId="65" numFmtId="0" xfId="0" applyAlignment="1" applyBorder="1" applyFont="1">
      <alignment readingOrder="0" shrinkToFit="0" wrapText="0"/>
    </xf>
    <xf borderId="0" fillId="6" fontId="29" numFmtId="0" xfId="0" applyAlignment="1" applyFont="1">
      <alignment horizontal="center" readingOrder="0"/>
    </xf>
    <xf borderId="1" fillId="6" fontId="29" numFmtId="0" xfId="0" applyAlignment="1" applyBorder="1" applyFont="1">
      <alignment horizontal="center"/>
    </xf>
    <xf borderId="4" fillId="6" fontId="13" numFmtId="0" xfId="0" applyAlignment="1" applyBorder="1" applyFont="1">
      <alignment horizontal="center" readingOrder="0"/>
    </xf>
    <xf borderId="1" fillId="0" fontId="83" numFmtId="0" xfId="0" applyAlignment="1" applyBorder="1" applyFont="1">
      <alignment horizontal="center" readingOrder="0" vertical="bottom"/>
    </xf>
    <xf borderId="1" fillId="0" fontId="83" numFmtId="0" xfId="0" applyAlignment="1" applyBorder="1" applyFont="1">
      <alignment readingOrder="0" shrinkToFit="0" wrapText="0"/>
    </xf>
    <xf borderId="5" fillId="0" fontId="8" numFmtId="0" xfId="0" applyAlignment="1" applyBorder="1" applyFont="1">
      <alignment horizontal="center" readingOrder="0" vertical="bottom"/>
    </xf>
    <xf borderId="1" fillId="6" fontId="16" numFmtId="0" xfId="0" applyAlignment="1" applyBorder="1" applyFont="1">
      <alignment horizontal="center" vertical="bottom"/>
    </xf>
    <xf borderId="0" fillId="0" fontId="11" numFmtId="0" xfId="0" applyAlignment="1" applyFont="1">
      <alignment horizontal="center" readingOrder="0" vertical="bottom"/>
    </xf>
    <xf borderId="1" fillId="0" fontId="60" numFmtId="0" xfId="0" applyAlignment="1" applyBorder="1" applyFont="1">
      <alignment readingOrder="0"/>
    </xf>
    <xf borderId="1" fillId="0" fontId="56" numFmtId="0" xfId="0" applyAlignment="1" applyBorder="1" applyFont="1">
      <alignment horizontal="center" readingOrder="0"/>
    </xf>
    <xf borderId="1" fillId="0" fontId="83" numFmtId="0" xfId="0" applyAlignment="1" applyBorder="1" applyFont="1">
      <alignment horizontal="center" readingOrder="0" shrinkToFit="0" vertical="bottom" wrapText="0"/>
    </xf>
    <xf borderId="1" fillId="6" fontId="71" numFmtId="0" xfId="0" applyAlignment="1" applyBorder="1" applyFont="1">
      <alignment horizontal="center" readingOrder="0"/>
    </xf>
    <xf borderId="0" fillId="0" fontId="32" numFmtId="0" xfId="0" applyAlignment="1" applyFont="1">
      <alignment horizontal="center" vertical="bottom"/>
    </xf>
    <xf borderId="1" fillId="0" fontId="23" numFmtId="0" xfId="0" applyAlignment="1" applyBorder="1" applyFont="1">
      <alignment horizontal="center" readingOrder="0" vertical="bottom"/>
    </xf>
    <xf borderId="0" fillId="6" fontId="84" numFmtId="0" xfId="0" applyAlignment="1" applyFont="1">
      <alignment horizontal="center" readingOrder="0"/>
    </xf>
    <xf borderId="0" fillId="0" fontId="1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1" fillId="0" fontId="85" numFmtId="0" xfId="0" applyAlignment="1" applyBorder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6" fontId="86" numFmtId="0" xfId="0" applyAlignment="1" applyFont="1">
      <alignment horizontal="center" readingOrder="0" vertical="bottom"/>
    </xf>
    <xf borderId="8" fillId="0" fontId="15" numFmtId="0" xfId="0" applyAlignment="1" applyBorder="1" applyFont="1">
      <alignment horizontal="center" vertical="bottom"/>
    </xf>
    <xf borderId="1" fillId="14" fontId="54" numFmtId="0" xfId="0" applyAlignment="1" applyBorder="1" applyFill="1" applyFont="1">
      <alignment horizontal="center" readingOrder="0"/>
    </xf>
    <xf borderId="2" fillId="0" fontId="87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vertical="bottom"/>
    </xf>
    <xf borderId="0" fillId="0" fontId="52" numFmtId="0" xfId="0" applyAlignment="1" applyFont="1">
      <alignment horizontal="center" readingOrder="0"/>
    </xf>
    <xf borderId="2" fillId="0" fontId="9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readingOrder="0" vertical="bottom"/>
    </xf>
    <xf borderId="2" fillId="0" fontId="23" numFmtId="0" xfId="0" applyAlignment="1" applyBorder="1" applyFont="1">
      <alignment horizontal="center" readingOrder="0" vertical="top"/>
    </xf>
    <xf borderId="3" fillId="0" fontId="15" numFmtId="0" xfId="0" applyAlignment="1" applyBorder="1" applyFont="1">
      <alignment horizontal="center" vertical="bottom"/>
    </xf>
    <xf borderId="1" fillId="0" fontId="15" numFmtId="0" xfId="0" applyAlignment="1" applyBorder="1" applyFont="1">
      <alignment vertical="bottom"/>
    </xf>
    <xf borderId="0" fillId="6" fontId="88" numFmtId="0" xfId="0" applyAlignment="1" applyFont="1">
      <alignment horizontal="center" readingOrder="0"/>
    </xf>
    <xf borderId="1" fillId="0" fontId="15" numFmtId="0" xfId="0" applyAlignment="1" applyBorder="1" applyFont="1">
      <alignment readingOrder="0"/>
    </xf>
    <xf borderId="1" fillId="0" fontId="83" numFmtId="0" xfId="0" applyAlignment="1" applyBorder="1" applyFont="1">
      <alignment readingOrder="0" vertical="bottom"/>
    </xf>
    <xf borderId="10" fillId="0" fontId="89" numFmtId="0" xfId="0" applyAlignment="1" applyBorder="1" applyFont="1">
      <alignment horizontal="center" vertical="center"/>
    </xf>
    <xf borderId="0" fillId="6" fontId="84" numFmtId="0" xfId="0" applyAlignment="1" applyFont="1">
      <alignment readingOrder="0"/>
    </xf>
    <xf borderId="15" fillId="6" fontId="16" numFmtId="0" xfId="0" applyAlignment="1" applyBorder="1" applyFont="1">
      <alignment horizontal="center" readingOrder="0" vertical="bottom"/>
    </xf>
    <xf borderId="1" fillId="0" fontId="8" numFmtId="0" xfId="0" applyAlignment="1" applyBorder="1" applyFont="1">
      <alignment horizontal="center" readingOrder="0" vertical="bottom"/>
    </xf>
    <xf borderId="10" fillId="6" fontId="84" numFmtId="0" xfId="0" applyAlignment="1" applyBorder="1" applyFont="1">
      <alignment horizontal="center" readingOrder="0" vertical="center"/>
    </xf>
    <xf borderId="1" fillId="6" fontId="72" numFmtId="0" xfId="0" applyAlignment="1" applyBorder="1" applyFont="1">
      <alignment horizontal="center" readingOrder="0"/>
    </xf>
    <xf borderId="1" fillId="9" fontId="90" numFmtId="0" xfId="0" applyAlignment="1" applyBorder="1" applyFont="1">
      <alignment horizontal="center"/>
    </xf>
    <xf borderId="0" fillId="6" fontId="91" numFmtId="0" xfId="0" applyAlignment="1" applyFont="1">
      <alignment horizontal="center" readingOrder="0" vertical="bottom"/>
    </xf>
    <xf borderId="1" fillId="0" fontId="15" numFmtId="0" xfId="0" applyAlignment="1" applyBorder="1" applyFont="1">
      <alignment readingOrder="0" shrinkToFit="0" wrapText="1"/>
    </xf>
    <xf borderId="0" fillId="0" fontId="92" numFmtId="0" xfId="0" applyFont="1"/>
    <xf borderId="1" fillId="0" fontId="83" numFmtId="0" xfId="0" applyAlignment="1" applyBorder="1" applyFont="1">
      <alignment horizontal="left" readingOrder="0" shrinkToFit="0" wrapText="0"/>
    </xf>
    <xf borderId="4" fillId="0" fontId="3" numFmtId="0" xfId="0" applyAlignment="1" applyBorder="1" applyFont="1">
      <alignment horizontal="center" readingOrder="0"/>
    </xf>
    <xf borderId="0" fillId="0" fontId="10" numFmtId="0" xfId="0" applyAlignment="1" applyFont="1">
      <alignment horizontal="center" readingOrder="0"/>
    </xf>
    <xf borderId="0" fillId="6" fontId="3" numFmtId="0" xfId="0" applyAlignment="1" applyFont="1">
      <alignment vertical="bottom"/>
    </xf>
    <xf borderId="0" fillId="0" fontId="93" numFmtId="0" xfId="0" applyAlignment="1" applyFont="1">
      <alignment textRotation="90"/>
    </xf>
    <xf borderId="5" fillId="6" fontId="11" numFmtId="0" xfId="0" applyAlignment="1" applyBorder="1" applyFont="1">
      <alignment horizontal="center" readingOrder="0" vertical="bottom"/>
    </xf>
    <xf borderId="1" fillId="0" fontId="94" numFmtId="0" xfId="0" applyAlignment="1" applyBorder="1" applyFont="1">
      <alignment horizontal="center" readingOrder="0"/>
    </xf>
    <xf borderId="8" fillId="0" fontId="23" numFmtId="0" xfId="0" applyAlignment="1" applyBorder="1" applyFont="1">
      <alignment horizontal="center" readingOrder="0" vertical="center"/>
    </xf>
    <xf borderId="0" fillId="6" fontId="31" numFmtId="0" xfId="0" applyAlignment="1" applyFont="1">
      <alignment horizontal="center" readingOrder="0" vertical="bottom"/>
    </xf>
    <xf borderId="10" fillId="0" fontId="95" numFmtId="0" xfId="0" applyAlignment="1" applyBorder="1" applyFont="1">
      <alignment horizontal="center" readingOrder="0" vertical="center"/>
    </xf>
    <xf borderId="1" fillId="4" fontId="3" numFmtId="0" xfId="0" applyBorder="1" applyFont="1"/>
    <xf borderId="1" fillId="4" fontId="3" numFmtId="0" xfId="0" applyAlignment="1" applyBorder="1" applyFont="1">
      <alignment horizontal="center"/>
    </xf>
    <xf borderId="0" fillId="4" fontId="3" numFmtId="0" xfId="0" applyAlignment="1" applyFont="1">
      <alignment horizontal="center"/>
    </xf>
    <xf borderId="0" fillId="7" fontId="3" numFmtId="0" xfId="0" applyFont="1"/>
    <xf borderId="1" fillId="4" fontId="83" numFmtId="0" xfId="0" applyAlignment="1" applyBorder="1" applyFont="1">
      <alignment readingOrder="0" vertical="bottom"/>
    </xf>
    <xf borderId="0" fillId="6" fontId="5" numFmtId="0" xfId="0" applyAlignment="1" applyFont="1">
      <alignment horizontal="center" readingOrder="0" vertical="bottom"/>
    </xf>
    <xf borderId="3" fillId="10" fontId="6" numFmtId="0" xfId="0" applyAlignment="1" applyBorder="1" applyFont="1">
      <alignment horizontal="center" readingOrder="0"/>
    </xf>
    <xf borderId="4" fillId="0" fontId="88" numFmtId="0" xfId="0" applyAlignment="1" applyBorder="1" applyFont="1">
      <alignment horizontal="center" readingOrder="0"/>
    </xf>
    <xf borderId="3" fillId="0" fontId="5" numFmtId="0" xfId="0" applyAlignment="1" applyBorder="1" applyFont="1">
      <alignment vertical="bottom"/>
    </xf>
    <xf borderId="1" fillId="0" fontId="3" numFmtId="0" xfId="0" applyAlignment="1" applyBorder="1" applyFont="1">
      <alignment horizontal="center" vertical="center"/>
    </xf>
    <xf borderId="1" fillId="6" fontId="5" numFmtId="0" xfId="0" applyAlignment="1" applyBorder="1" applyFont="1">
      <alignment horizontal="left" vertical="bottom"/>
    </xf>
    <xf borderId="0" fillId="0" fontId="3" numFmtId="0" xfId="0" applyAlignment="1" applyFont="1">
      <alignment readingOrder="0" vertical="bottom"/>
    </xf>
    <xf borderId="1" fillId="0" fontId="35" numFmtId="0" xfId="0" applyAlignment="1" applyBorder="1" applyFont="1">
      <alignment horizontal="left" readingOrder="0" vertical="bottom"/>
    </xf>
    <xf borderId="5" fillId="6" fontId="5" numFmtId="0" xfId="0" applyAlignment="1" applyBorder="1" applyFont="1">
      <alignment horizontal="center" readingOrder="0" vertical="bottom"/>
    </xf>
    <xf borderId="0" fillId="6" fontId="96" numFmtId="0" xfId="0" applyAlignment="1" applyFont="1">
      <alignment horizontal="center" readingOrder="0"/>
    </xf>
    <xf borderId="0" fillId="6" fontId="32" numFmtId="0" xfId="0" applyAlignment="1" applyFont="1">
      <alignment horizontal="center" vertical="bottom"/>
    </xf>
    <xf borderId="1" fillId="0" fontId="1" numFmtId="0" xfId="0" applyAlignment="1" applyBorder="1" applyFont="1">
      <alignment vertical="bottom"/>
    </xf>
    <xf borderId="1" fillId="6" fontId="31" numFmtId="0" xfId="0" applyAlignment="1" applyBorder="1" applyFont="1">
      <alignment horizontal="center" shrinkToFit="0" wrapText="1"/>
    </xf>
    <xf borderId="1" fillId="6" fontId="16" numFmtId="0" xfId="0" applyAlignment="1" applyBorder="1" applyFont="1">
      <alignment horizontal="center" vertical="bottom"/>
    </xf>
    <xf borderId="1" fillId="6" fontId="16" numFmtId="0" xfId="0" applyAlignment="1" applyBorder="1" applyFont="1">
      <alignment horizontal="center" readingOrder="0"/>
    </xf>
    <xf borderId="0" fillId="6" fontId="97" numFmtId="0" xfId="0" applyAlignment="1" applyFont="1">
      <alignment horizontal="center" readingOrder="0" vertical="bottom"/>
    </xf>
    <xf borderId="1" fillId="0" fontId="97" numFmtId="0" xfId="0" applyAlignment="1" applyBorder="1" applyFont="1">
      <alignment horizontal="center" readingOrder="0"/>
    </xf>
    <xf borderId="16" fillId="0" fontId="3" numFmtId="0" xfId="0" applyAlignment="1" applyBorder="1" applyFont="1">
      <alignment horizontal="center" vertical="bottom"/>
    </xf>
    <xf borderId="2" fillId="6" fontId="98" numFmtId="0" xfId="0" applyAlignment="1" applyBorder="1" applyFont="1">
      <alignment horizontal="center" readingOrder="0"/>
    </xf>
    <xf borderId="14" fillId="0" fontId="7" numFmtId="0" xfId="0" applyBorder="1" applyFont="1"/>
    <xf borderId="8" fillId="0" fontId="23" numFmtId="0" xfId="0" applyAlignment="1" applyBorder="1" applyFont="1">
      <alignment horizontal="center" vertical="center"/>
    </xf>
    <xf borderId="2" fillId="0" fontId="23" numFmtId="0" xfId="0" applyAlignment="1" applyBorder="1" applyFont="1">
      <alignment horizontal="center" vertical="center"/>
    </xf>
    <xf borderId="1" fillId="0" fontId="99" numFmtId="0" xfId="0" applyAlignment="1" applyBorder="1" applyFont="1">
      <alignment horizontal="center" readingOrder="0" shrinkToFit="0" vertical="center" wrapText="0"/>
    </xf>
    <xf borderId="5" fillId="0" fontId="5" numFmtId="0" xfId="0" applyAlignment="1" applyBorder="1" applyFont="1">
      <alignment horizontal="center" readingOrder="0" vertical="bottom"/>
    </xf>
    <xf borderId="0" fillId="6" fontId="100" numFmtId="0" xfId="0" applyAlignment="1" applyFont="1">
      <alignment horizontal="center" vertical="bottom"/>
    </xf>
    <xf borderId="1" fillId="0" fontId="26" numFmtId="0" xfId="0" applyAlignment="1" applyBorder="1" applyFont="1">
      <alignment readingOrder="0"/>
    </xf>
    <xf borderId="1" fillId="0" fontId="16" numFmtId="0" xfId="0" applyAlignment="1" applyBorder="1" applyFont="1">
      <alignment horizontal="center" vertical="bottom"/>
    </xf>
    <xf borderId="0" fillId="0" fontId="15" numFmtId="0" xfId="0" applyAlignment="1" applyFont="1">
      <alignment horizontal="center" vertical="bottom"/>
    </xf>
    <xf borderId="0" fillId="6" fontId="101" numFmtId="0" xfId="0" applyAlignment="1" applyFont="1">
      <alignment horizontal="center" vertical="bottom"/>
    </xf>
    <xf borderId="1" fillId="6" fontId="5" numFmtId="0" xfId="0" applyAlignment="1" applyBorder="1" applyFont="1">
      <alignment horizontal="center" readingOrder="0" shrinkToFit="0" vertical="bottom" wrapText="1"/>
    </xf>
    <xf borderId="7" fillId="6" fontId="5" numFmtId="0" xfId="0" applyAlignment="1" applyBorder="1" applyFont="1">
      <alignment horizontal="center" vertical="bottom"/>
    </xf>
    <xf borderId="10" fillId="6" fontId="98" numFmtId="0" xfId="0" applyAlignment="1" applyBorder="1" applyFont="1">
      <alignment horizontal="center" readingOrder="0"/>
    </xf>
    <xf borderId="1" fillId="15" fontId="5" numFmtId="0" xfId="0" applyAlignment="1" applyBorder="1" applyFill="1" applyFont="1">
      <alignment horizontal="center" shrinkToFit="0" vertical="bottom" wrapText="1"/>
    </xf>
    <xf borderId="1" fillId="6" fontId="32" numFmtId="0" xfId="0" applyAlignment="1" applyBorder="1" applyFont="1">
      <alignment horizontal="center" vertical="bottom"/>
    </xf>
    <xf borderId="1" fillId="0" fontId="35" numFmtId="0" xfId="0" applyAlignment="1" applyBorder="1" applyFont="1">
      <alignment horizontal="center" vertical="bottom"/>
    </xf>
    <xf borderId="1" fillId="0" fontId="27" numFmtId="0" xfId="0" applyAlignment="1" applyBorder="1" applyFont="1">
      <alignment horizontal="center" readingOrder="0"/>
    </xf>
    <xf borderId="1" fillId="0" fontId="102" numFmtId="0" xfId="0" applyAlignment="1" applyBorder="1" applyFont="1">
      <alignment horizontal="center" readingOrder="0"/>
    </xf>
    <xf borderId="1" fillId="2" fontId="3" numFmtId="0" xfId="0" applyAlignment="1" applyBorder="1" applyFont="1">
      <alignment readingOrder="0"/>
    </xf>
    <xf borderId="1" fillId="6" fontId="103" numFmtId="0" xfId="0" applyAlignment="1" applyBorder="1" applyFont="1">
      <alignment horizontal="center" readingOrder="0"/>
    </xf>
    <xf borderId="5" fillId="0" fontId="5" numFmtId="0" xfId="0" applyAlignment="1" applyBorder="1" applyFont="1">
      <alignment horizontal="center" vertical="bottom"/>
    </xf>
    <xf borderId="1" fillId="6" fontId="58" numFmtId="0" xfId="0" applyAlignment="1" applyBorder="1" applyFont="1">
      <alignment horizontal="center" readingOrder="0" vertical="bottom"/>
    </xf>
    <xf borderId="1" fillId="0" fontId="37" numFmtId="0" xfId="0" applyAlignment="1" applyBorder="1" applyFont="1">
      <alignment horizontal="center" vertical="bottom"/>
    </xf>
    <xf borderId="1" fillId="2" fontId="3" numFmtId="0" xfId="0" applyAlignment="1" applyBorder="1" applyFont="1">
      <alignment horizontal="center" readingOrder="0"/>
    </xf>
    <xf borderId="1" fillId="0" fontId="85" numFmtId="0" xfId="0" applyAlignment="1" applyBorder="1" applyFont="1">
      <alignment horizontal="center" readingOrder="0"/>
    </xf>
    <xf borderId="1" fillId="6" fontId="104" numFmtId="0" xfId="0" applyAlignment="1" applyBorder="1" applyFont="1">
      <alignment horizontal="center" vertical="bottom"/>
    </xf>
    <xf borderId="1" fillId="6" fontId="105" numFmtId="0" xfId="0" applyAlignment="1" applyBorder="1" applyFont="1">
      <alignment horizontal="center" readingOrder="0" vertical="bottom"/>
    </xf>
    <xf borderId="0" fillId="6" fontId="106" numFmtId="0" xfId="0" applyAlignment="1" applyFont="1">
      <alignment horizontal="center" readingOrder="0" vertical="bottom"/>
    </xf>
    <xf borderId="0" fillId="6" fontId="107" numFmtId="0" xfId="0" applyAlignment="1" applyFont="1">
      <alignment horizontal="center" readingOrder="0" vertical="bottom"/>
    </xf>
    <xf borderId="1" fillId="6" fontId="58" numFmtId="0" xfId="0" applyAlignment="1" applyBorder="1" applyFont="1">
      <alignment horizontal="center" shrinkToFit="0" vertical="bottom" wrapText="1"/>
    </xf>
    <xf borderId="3" fillId="7" fontId="23" numFmtId="0" xfId="0" applyAlignment="1" applyBorder="1" applyFont="1">
      <alignment horizontal="center"/>
    </xf>
    <xf borderId="0" fillId="0" fontId="12" numFmtId="0" xfId="0" applyAlignment="1" applyFont="1">
      <alignment horizontal="center" readingOrder="0" textRotation="90" vertical="center"/>
    </xf>
    <xf borderId="1" fillId="0" fontId="16" numFmtId="0" xfId="0" applyAlignment="1" applyBorder="1" applyFont="1">
      <alignment horizontal="center"/>
    </xf>
    <xf borderId="1" fillId="0" fontId="16" numFmtId="0" xfId="0" applyAlignment="1" applyBorder="1" applyFont="1">
      <alignment horizontal="center" vertical="bottom"/>
    </xf>
    <xf borderId="2" fillId="0" fontId="9" numFmtId="0" xfId="0" applyAlignment="1" applyBorder="1" applyFont="1">
      <alignment horizontal="center" vertical="center"/>
    </xf>
    <xf borderId="1" fillId="0" fontId="108" numFmtId="0" xfId="0" applyAlignment="1" applyBorder="1" applyFont="1">
      <alignment horizontal="center" readingOrder="0" shrinkToFit="0" vertical="center" wrapText="0"/>
    </xf>
    <xf borderId="1" fillId="0" fontId="99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horizontal="center" readingOrder="0" vertical="center"/>
    </xf>
    <xf borderId="1" fillId="0" fontId="10" numFmtId="0" xfId="0" applyAlignment="1" applyBorder="1" applyFont="1">
      <alignment readingOrder="0" vertical="bottom"/>
    </xf>
    <xf borderId="2" fillId="0" fontId="109" numFmtId="0" xfId="0" applyAlignment="1" applyBorder="1" applyFont="1">
      <alignment horizontal="center" readingOrder="0" vertical="center"/>
    </xf>
    <xf borderId="0" fillId="0" fontId="79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2.25"/>
    <col customWidth="1" min="6" max="6" width="21.38"/>
    <col customWidth="1" min="9" max="9" width="27.38"/>
    <col customWidth="1" min="10" max="10" width="14.0"/>
    <col customWidth="1" min="11" max="11" width="29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9" t="str">
        <f>B2</f>
        <v>ELEM101</v>
      </c>
      <c r="B2" s="11" t="s">
        <v>14</v>
      </c>
      <c r="C2" s="13"/>
      <c r="D2" s="13"/>
      <c r="E2" s="13"/>
      <c r="F2" s="13"/>
      <c r="G2" s="13"/>
      <c r="H2" s="13"/>
      <c r="I2" s="13"/>
      <c r="J2" s="13"/>
      <c r="K2" s="18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23"/>
      <c r="B3" s="24" t="s">
        <v>1</v>
      </c>
      <c r="C3" s="24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3" t="s">
        <v>7</v>
      </c>
      <c r="I3" s="27" t="s">
        <v>8</v>
      </c>
      <c r="J3" s="29" t="s">
        <v>9</v>
      </c>
      <c r="K3" s="27" t="s">
        <v>10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23"/>
      <c r="B4" s="33" t="s">
        <v>33</v>
      </c>
      <c r="C4" s="34" t="s">
        <v>34</v>
      </c>
      <c r="D4" s="35">
        <v>37762.0</v>
      </c>
      <c r="E4" s="33" t="s">
        <v>35</v>
      </c>
      <c r="F4" s="35" t="s">
        <v>36</v>
      </c>
      <c r="G4" s="33">
        <v>3.0</v>
      </c>
      <c r="H4" s="36" t="s">
        <v>38</v>
      </c>
      <c r="I4" s="37" t="s">
        <v>39</v>
      </c>
      <c r="J4" s="39" t="s">
        <v>40</v>
      </c>
      <c r="K4" s="41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23"/>
      <c r="B5" s="33" t="s">
        <v>45</v>
      </c>
      <c r="C5" s="34" t="s">
        <v>46</v>
      </c>
      <c r="D5" s="35">
        <v>38224.0</v>
      </c>
      <c r="E5" s="35" t="s">
        <v>24</v>
      </c>
      <c r="F5" s="35" t="s">
        <v>48</v>
      </c>
      <c r="G5" s="33">
        <v>3.0</v>
      </c>
      <c r="H5" s="46" t="s">
        <v>51</v>
      </c>
      <c r="I5" s="49" t="s">
        <v>53</v>
      </c>
      <c r="J5" s="51" t="s">
        <v>56</v>
      </c>
      <c r="K5" s="53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23"/>
      <c r="B6" s="33" t="s">
        <v>61</v>
      </c>
      <c r="C6" s="34" t="s">
        <v>62</v>
      </c>
      <c r="D6" s="35">
        <v>37781.0</v>
      </c>
      <c r="E6" s="35" t="s">
        <v>54</v>
      </c>
      <c r="F6" s="35" t="s">
        <v>63</v>
      </c>
      <c r="G6" s="33">
        <v>3.0</v>
      </c>
      <c r="H6" s="36" t="s">
        <v>64</v>
      </c>
      <c r="I6" s="37" t="s">
        <v>65</v>
      </c>
      <c r="J6" s="56" t="s">
        <v>67</v>
      </c>
      <c r="K6" s="21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23"/>
      <c r="B7" s="33" t="s">
        <v>66</v>
      </c>
      <c r="C7" s="34" t="s">
        <v>68</v>
      </c>
      <c r="D7" s="35">
        <v>37773.0</v>
      </c>
      <c r="E7" s="35" t="s">
        <v>71</v>
      </c>
      <c r="F7" s="33" t="s">
        <v>72</v>
      </c>
      <c r="G7" s="33">
        <v>1.5</v>
      </c>
      <c r="H7" s="36" t="s">
        <v>74</v>
      </c>
      <c r="I7" s="37" t="s">
        <v>75</v>
      </c>
      <c r="J7" s="59" t="s">
        <v>76</v>
      </c>
      <c r="K7" s="61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23"/>
      <c r="B8" s="35" t="s">
        <v>79</v>
      </c>
      <c r="C8" s="65" t="s">
        <v>80</v>
      </c>
      <c r="D8" s="66">
        <v>37766.0</v>
      </c>
      <c r="E8" s="35" t="s">
        <v>84</v>
      </c>
      <c r="F8" s="35" t="s">
        <v>86</v>
      </c>
      <c r="G8" s="33">
        <v>3.0</v>
      </c>
      <c r="H8" s="36" t="s">
        <v>87</v>
      </c>
      <c r="I8" s="37" t="s">
        <v>88</v>
      </c>
      <c r="J8" s="68" t="s">
        <v>89</v>
      </c>
      <c r="K8" s="21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23"/>
      <c r="B9" s="33" t="s">
        <v>94</v>
      </c>
      <c r="C9" s="34" t="s">
        <v>95</v>
      </c>
      <c r="D9" s="35">
        <v>37783.0</v>
      </c>
      <c r="E9" s="33" t="s">
        <v>96</v>
      </c>
      <c r="F9" s="35" t="s">
        <v>97</v>
      </c>
      <c r="G9" s="33">
        <v>3.0</v>
      </c>
      <c r="H9" s="36" t="s">
        <v>99</v>
      </c>
      <c r="I9" s="37" t="s">
        <v>101</v>
      </c>
      <c r="J9" s="35" t="s">
        <v>103</v>
      </c>
      <c r="K9" s="71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23"/>
      <c r="B10" s="33" t="s">
        <v>107</v>
      </c>
      <c r="C10" s="34" t="s">
        <v>108</v>
      </c>
      <c r="D10" s="35">
        <v>37771.0</v>
      </c>
      <c r="E10" s="35" t="s">
        <v>35</v>
      </c>
      <c r="F10" s="35" t="s">
        <v>109</v>
      </c>
      <c r="G10" s="33">
        <v>2.0</v>
      </c>
      <c r="H10" s="36" t="s">
        <v>111</v>
      </c>
      <c r="I10" s="37" t="s">
        <v>114</v>
      </c>
      <c r="J10" s="37" t="s">
        <v>115</v>
      </c>
      <c r="K10" s="21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23"/>
      <c r="B11" s="33" t="s">
        <v>119</v>
      </c>
      <c r="C11" s="34" t="s">
        <v>120</v>
      </c>
      <c r="D11" s="35">
        <v>37777.0</v>
      </c>
      <c r="E11" s="35" t="s">
        <v>24</v>
      </c>
      <c r="F11" s="35" t="s">
        <v>124</v>
      </c>
      <c r="G11" s="33">
        <v>3.0</v>
      </c>
      <c r="H11" s="36" t="s">
        <v>90</v>
      </c>
      <c r="I11" s="37" t="s">
        <v>126</v>
      </c>
      <c r="J11" s="76" t="s">
        <v>128</v>
      </c>
      <c r="K11" s="21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23"/>
      <c r="B12" s="33" t="s">
        <v>134</v>
      </c>
      <c r="C12" s="34" t="s">
        <v>135</v>
      </c>
      <c r="D12" s="35">
        <v>37764.0</v>
      </c>
      <c r="E12" s="35" t="s">
        <v>35</v>
      </c>
      <c r="F12" s="35" t="s">
        <v>124</v>
      </c>
      <c r="G12" s="33">
        <v>3.0</v>
      </c>
      <c r="H12" s="36" t="s">
        <v>38</v>
      </c>
      <c r="I12" s="37" t="s">
        <v>138</v>
      </c>
      <c r="J12" s="77" t="s">
        <v>139</v>
      </c>
      <c r="K12" s="61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23"/>
      <c r="B13" s="33" t="s">
        <v>143</v>
      </c>
      <c r="C13" s="34" t="s">
        <v>144</v>
      </c>
      <c r="D13" s="35">
        <v>37779.0</v>
      </c>
      <c r="E13" s="35" t="s">
        <v>24</v>
      </c>
      <c r="F13" s="35" t="s">
        <v>85</v>
      </c>
      <c r="G13" s="33">
        <v>3.0</v>
      </c>
      <c r="H13" s="36" t="s">
        <v>148</v>
      </c>
      <c r="I13" s="37" t="s">
        <v>53</v>
      </c>
      <c r="J13" s="37" t="s">
        <v>150</v>
      </c>
      <c r="K13" s="21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23"/>
      <c r="B14" s="33" t="s">
        <v>157</v>
      </c>
      <c r="C14" s="34" t="s">
        <v>158</v>
      </c>
      <c r="D14" s="35">
        <v>37775.0</v>
      </c>
      <c r="E14" s="35" t="s">
        <v>71</v>
      </c>
      <c r="F14" s="35" t="s">
        <v>48</v>
      </c>
      <c r="G14" s="33">
        <v>3.0</v>
      </c>
      <c r="H14" s="81" t="s">
        <v>74</v>
      </c>
      <c r="I14" s="37" t="s">
        <v>162</v>
      </c>
      <c r="J14" s="62" t="s">
        <v>164</v>
      </c>
      <c r="K14" s="61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85"/>
      <c r="B15" s="86" t="s">
        <v>167</v>
      </c>
      <c r="C15" s="13"/>
      <c r="D15" s="13"/>
      <c r="E15" s="13"/>
      <c r="F15" s="18"/>
      <c r="G15" s="88">
        <f>SUM(G4:G14)</f>
        <v>30.5</v>
      </c>
      <c r="H15" s="90"/>
      <c r="I15" s="21"/>
      <c r="J15" s="90"/>
      <c r="K15" s="21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92"/>
      <c r="I16" s="5"/>
      <c r="J16" s="92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92"/>
      <c r="I17" s="5"/>
      <c r="J17" s="92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6" t="str">
        <f>B18</f>
        <v>ELEM102</v>
      </c>
      <c r="B18" s="11" t="s">
        <v>193</v>
      </c>
      <c r="C18" s="13"/>
      <c r="D18" s="13"/>
      <c r="E18" s="13"/>
      <c r="F18" s="13"/>
      <c r="G18" s="13"/>
      <c r="H18" s="13"/>
      <c r="I18" s="13"/>
      <c r="J18" s="13"/>
      <c r="K18" s="18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23"/>
      <c r="B19" s="24" t="s">
        <v>1</v>
      </c>
      <c r="C19" s="24" t="s">
        <v>2</v>
      </c>
      <c r="D19" s="24" t="s">
        <v>3</v>
      </c>
      <c r="E19" s="24" t="s">
        <v>4</v>
      </c>
      <c r="F19" s="24" t="s">
        <v>5</v>
      </c>
      <c r="G19" s="24" t="s">
        <v>6</v>
      </c>
      <c r="H19" s="29" t="s">
        <v>7</v>
      </c>
      <c r="I19" s="29" t="s">
        <v>8</v>
      </c>
      <c r="J19" s="29" t="s">
        <v>9</v>
      </c>
      <c r="K19" s="27" t="s">
        <v>10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23"/>
      <c r="B20" s="33" t="s">
        <v>33</v>
      </c>
      <c r="C20" s="34" t="s">
        <v>34</v>
      </c>
      <c r="D20" s="35">
        <v>37799.0</v>
      </c>
      <c r="E20" s="35" t="s">
        <v>71</v>
      </c>
      <c r="F20" s="33" t="s">
        <v>204</v>
      </c>
      <c r="G20" s="33">
        <v>3.0</v>
      </c>
      <c r="H20" s="16" t="s">
        <v>205</v>
      </c>
      <c r="I20" s="35" t="s">
        <v>207</v>
      </c>
      <c r="J20" s="37" t="s">
        <v>208</v>
      </c>
      <c r="K20" s="21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23"/>
      <c r="B21" s="33" t="s">
        <v>45</v>
      </c>
      <c r="C21" s="34" t="s">
        <v>46</v>
      </c>
      <c r="D21" s="35">
        <v>37797.0</v>
      </c>
      <c r="E21" s="35" t="s">
        <v>71</v>
      </c>
      <c r="F21" s="35" t="s">
        <v>44</v>
      </c>
      <c r="G21" s="33">
        <v>3.0</v>
      </c>
      <c r="H21" s="36" t="s">
        <v>64</v>
      </c>
      <c r="I21" s="37" t="s">
        <v>212</v>
      </c>
      <c r="J21" s="37" t="s">
        <v>213</v>
      </c>
      <c r="K21" s="21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23"/>
      <c r="B22" s="33" t="s">
        <v>61</v>
      </c>
      <c r="C22" s="34" t="s">
        <v>62</v>
      </c>
      <c r="D22" s="35">
        <v>37801.0</v>
      </c>
      <c r="E22" s="35" t="s">
        <v>217</v>
      </c>
      <c r="F22" s="35" t="s">
        <v>160</v>
      </c>
      <c r="G22" s="33">
        <v>3.0</v>
      </c>
      <c r="H22" s="36" t="s">
        <v>219</v>
      </c>
      <c r="I22" s="37" t="s">
        <v>220</v>
      </c>
      <c r="J22" s="105" t="s">
        <v>221</v>
      </c>
      <c r="K22" s="61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23"/>
      <c r="B23" s="33" t="s">
        <v>66</v>
      </c>
      <c r="C23" s="34" t="s">
        <v>68</v>
      </c>
      <c r="D23" s="35">
        <v>37795.0</v>
      </c>
      <c r="E23" s="33" t="s">
        <v>226</v>
      </c>
      <c r="F23" s="35" t="s">
        <v>100</v>
      </c>
      <c r="G23" s="33">
        <v>1.5</v>
      </c>
      <c r="H23" s="36" t="s">
        <v>227</v>
      </c>
      <c r="I23" s="37" t="s">
        <v>75</v>
      </c>
      <c r="J23" s="105" t="s">
        <v>229</v>
      </c>
      <c r="K23" s="61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23"/>
      <c r="B24" s="35" t="s">
        <v>79</v>
      </c>
      <c r="C24" s="65" t="s">
        <v>80</v>
      </c>
      <c r="D24" s="35">
        <v>37803.0</v>
      </c>
      <c r="E24" s="35" t="s">
        <v>31</v>
      </c>
      <c r="F24" s="35" t="s">
        <v>124</v>
      </c>
      <c r="G24" s="33">
        <v>3.0</v>
      </c>
      <c r="H24" s="36" t="s">
        <v>51</v>
      </c>
      <c r="I24" s="36" t="s">
        <v>235</v>
      </c>
      <c r="J24" s="69" t="s">
        <v>237</v>
      </c>
      <c r="K24" s="61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23"/>
      <c r="B25" s="33" t="s">
        <v>94</v>
      </c>
      <c r="C25" s="34" t="s">
        <v>95</v>
      </c>
      <c r="D25" s="35">
        <v>37787.0</v>
      </c>
      <c r="E25" s="35" t="s">
        <v>83</v>
      </c>
      <c r="F25" s="35" t="s">
        <v>124</v>
      </c>
      <c r="G25" s="33">
        <v>3.0</v>
      </c>
      <c r="H25" s="36" t="s">
        <v>239</v>
      </c>
      <c r="I25" s="109"/>
      <c r="J25" s="109"/>
      <c r="K25" s="21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23"/>
      <c r="B26" s="33" t="s">
        <v>107</v>
      </c>
      <c r="C26" s="34" t="s">
        <v>108</v>
      </c>
      <c r="D26" s="35">
        <v>37791.0</v>
      </c>
      <c r="E26" s="35" t="s">
        <v>145</v>
      </c>
      <c r="F26" s="35" t="s">
        <v>247</v>
      </c>
      <c r="G26" s="33">
        <v>2.0</v>
      </c>
      <c r="H26" s="81" t="s">
        <v>111</v>
      </c>
      <c r="I26" s="37" t="s">
        <v>248</v>
      </c>
      <c r="J26" s="36" t="s">
        <v>250</v>
      </c>
      <c r="K26" s="21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23"/>
      <c r="B27" s="33" t="s">
        <v>119</v>
      </c>
      <c r="C27" s="34" t="s">
        <v>120</v>
      </c>
      <c r="D27" s="35">
        <v>37805.0</v>
      </c>
      <c r="E27" s="35" t="s">
        <v>15</v>
      </c>
      <c r="F27" s="35" t="s">
        <v>255</v>
      </c>
      <c r="G27" s="33">
        <v>3.0</v>
      </c>
      <c r="H27" s="36" t="s">
        <v>258</v>
      </c>
      <c r="I27" s="37" t="s">
        <v>126</v>
      </c>
      <c r="J27" s="87" t="s">
        <v>259</v>
      </c>
      <c r="K27" s="119" t="s">
        <v>260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23"/>
      <c r="B28" s="33" t="s">
        <v>134</v>
      </c>
      <c r="C28" s="34" t="s">
        <v>135</v>
      </c>
      <c r="D28" s="35">
        <v>37789.0</v>
      </c>
      <c r="E28" s="35" t="s">
        <v>145</v>
      </c>
      <c r="F28" s="35" t="s">
        <v>261</v>
      </c>
      <c r="G28" s="33">
        <v>3.0</v>
      </c>
      <c r="H28" s="36" t="s">
        <v>239</v>
      </c>
      <c r="I28" s="37" t="s">
        <v>264</v>
      </c>
      <c r="J28" s="122" t="s">
        <v>265</v>
      </c>
      <c r="K28" s="21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23"/>
      <c r="B29" s="33" t="s">
        <v>143</v>
      </c>
      <c r="C29" s="34" t="s">
        <v>144</v>
      </c>
      <c r="D29" s="35">
        <v>37785.0</v>
      </c>
      <c r="E29" s="35" t="s">
        <v>83</v>
      </c>
      <c r="F29" s="35" t="s">
        <v>261</v>
      </c>
      <c r="G29" s="33">
        <v>3.0</v>
      </c>
      <c r="H29" s="36" t="s">
        <v>99</v>
      </c>
      <c r="I29" s="36" t="s">
        <v>270</v>
      </c>
      <c r="J29" s="56" t="s">
        <v>272</v>
      </c>
      <c r="K29" s="21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23"/>
      <c r="B30" s="33" t="s">
        <v>157</v>
      </c>
      <c r="C30" s="34" t="s">
        <v>158</v>
      </c>
      <c r="D30" s="35">
        <v>37793.0</v>
      </c>
      <c r="E30" s="35" t="s">
        <v>145</v>
      </c>
      <c r="F30" s="35" t="s">
        <v>255</v>
      </c>
      <c r="G30" s="33">
        <v>3.0</v>
      </c>
      <c r="H30" s="16" t="s">
        <v>64</v>
      </c>
      <c r="I30" s="37" t="s">
        <v>114</v>
      </c>
      <c r="J30" s="124" t="s">
        <v>279</v>
      </c>
      <c r="K30" s="61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85"/>
      <c r="B31" s="86" t="s">
        <v>167</v>
      </c>
      <c r="C31" s="13"/>
      <c r="D31" s="13"/>
      <c r="E31" s="13"/>
      <c r="F31" s="18"/>
      <c r="G31" s="88">
        <f>SUM(G20:G30)</f>
        <v>30.5</v>
      </c>
      <c r="H31" s="90"/>
      <c r="I31" s="21"/>
      <c r="J31" s="90"/>
      <c r="K31" s="21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92"/>
      <c r="I32" s="5"/>
      <c r="J32" s="92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92"/>
      <c r="I33" s="5"/>
      <c r="J33" s="92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6" t="str">
        <f>B34</f>
        <v>ELEM103</v>
      </c>
      <c r="B34" s="11" t="s">
        <v>288</v>
      </c>
      <c r="C34" s="13"/>
      <c r="D34" s="13"/>
      <c r="E34" s="13"/>
      <c r="F34" s="13"/>
      <c r="G34" s="13"/>
      <c r="H34" s="13"/>
      <c r="I34" s="13"/>
      <c r="J34" s="13"/>
      <c r="K34" s="18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23"/>
      <c r="B35" s="24" t="s">
        <v>1</v>
      </c>
      <c r="C35" s="24" t="s">
        <v>2</v>
      </c>
      <c r="D35" s="24" t="s">
        <v>3</v>
      </c>
      <c r="E35" s="24" t="s">
        <v>4</v>
      </c>
      <c r="F35" s="24" t="s">
        <v>5</v>
      </c>
      <c r="G35" s="24" t="s">
        <v>6</v>
      </c>
      <c r="H35" s="29" t="s">
        <v>7</v>
      </c>
      <c r="I35" s="29" t="s">
        <v>8</v>
      </c>
      <c r="J35" s="29" t="s">
        <v>9</v>
      </c>
      <c r="K35" s="27" t="s">
        <v>10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23"/>
      <c r="B36" s="33" t="s">
        <v>33</v>
      </c>
      <c r="C36" s="34" t="s">
        <v>34</v>
      </c>
      <c r="D36" s="35">
        <v>37815.0</v>
      </c>
      <c r="E36" s="35" t="s">
        <v>294</v>
      </c>
      <c r="F36" s="35" t="s">
        <v>48</v>
      </c>
      <c r="G36" s="33">
        <v>3.0</v>
      </c>
      <c r="H36" s="36" t="s">
        <v>295</v>
      </c>
      <c r="I36" s="36" t="s">
        <v>296</v>
      </c>
      <c r="J36" s="62" t="s">
        <v>297</v>
      </c>
      <c r="K36" s="61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23"/>
      <c r="B37" s="33" t="s">
        <v>45</v>
      </c>
      <c r="C37" s="34" t="s">
        <v>46</v>
      </c>
      <c r="D37" s="35">
        <v>37828.0</v>
      </c>
      <c r="E37" s="35" t="s">
        <v>299</v>
      </c>
      <c r="F37" s="35" t="s">
        <v>85</v>
      </c>
      <c r="G37" s="33">
        <v>3.0</v>
      </c>
      <c r="H37" s="36" t="s">
        <v>300</v>
      </c>
      <c r="I37" s="136" t="s">
        <v>302</v>
      </c>
      <c r="J37" s="51" t="s">
        <v>305</v>
      </c>
      <c r="K37" s="21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23"/>
      <c r="B38" s="33" t="s">
        <v>61</v>
      </c>
      <c r="C38" s="34" t="s">
        <v>62</v>
      </c>
      <c r="D38" s="35">
        <v>37824.0</v>
      </c>
      <c r="E38" s="35" t="s">
        <v>307</v>
      </c>
      <c r="F38" s="35" t="s">
        <v>44</v>
      </c>
      <c r="G38" s="33">
        <v>3.0</v>
      </c>
      <c r="H38" s="36" t="s">
        <v>309</v>
      </c>
      <c r="I38" s="108" t="s">
        <v>310</v>
      </c>
      <c r="J38" s="137" t="s">
        <v>311</v>
      </c>
      <c r="K38" s="61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23"/>
      <c r="B39" s="33" t="s">
        <v>66</v>
      </c>
      <c r="C39" s="34" t="s">
        <v>68</v>
      </c>
      <c r="D39" s="35">
        <v>37822.0</v>
      </c>
      <c r="E39" s="35" t="s">
        <v>313</v>
      </c>
      <c r="F39" s="35" t="s">
        <v>314</v>
      </c>
      <c r="G39" s="33">
        <v>1.5</v>
      </c>
      <c r="H39" s="36" t="s">
        <v>74</v>
      </c>
      <c r="I39" s="37" t="s">
        <v>316</v>
      </c>
      <c r="J39" s="139" t="s">
        <v>318</v>
      </c>
      <c r="K39" s="21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23"/>
      <c r="B40" s="35" t="s">
        <v>79</v>
      </c>
      <c r="C40" s="65" t="s">
        <v>80</v>
      </c>
      <c r="D40" s="35">
        <v>37807.0</v>
      </c>
      <c r="E40" s="35" t="s">
        <v>319</v>
      </c>
      <c r="F40" s="35" t="s">
        <v>261</v>
      </c>
      <c r="G40" s="33">
        <v>3.0</v>
      </c>
      <c r="H40" s="25" t="s">
        <v>320</v>
      </c>
      <c r="I40" s="36" t="s">
        <v>321</v>
      </c>
      <c r="J40" s="69" t="s">
        <v>322</v>
      </c>
      <c r="K40" s="21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23"/>
      <c r="B41" s="33" t="s">
        <v>94</v>
      </c>
      <c r="C41" s="34" t="s">
        <v>95</v>
      </c>
      <c r="D41" s="35">
        <v>37811.0</v>
      </c>
      <c r="E41" s="33" t="s">
        <v>35</v>
      </c>
      <c r="F41" s="35" t="s">
        <v>255</v>
      </c>
      <c r="G41" s="33">
        <v>3.0</v>
      </c>
      <c r="H41" s="36" t="s">
        <v>295</v>
      </c>
      <c r="I41" s="140" t="s">
        <v>110</v>
      </c>
      <c r="J41" s="141" t="s">
        <v>323</v>
      </c>
      <c r="K41" s="21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23"/>
      <c r="B42" s="33" t="s">
        <v>107</v>
      </c>
      <c r="C42" s="34" t="s">
        <v>108</v>
      </c>
      <c r="D42" s="35">
        <v>37820.0</v>
      </c>
      <c r="E42" s="35" t="s">
        <v>324</v>
      </c>
      <c r="F42" s="35" t="s">
        <v>325</v>
      </c>
      <c r="G42" s="33">
        <v>2.0</v>
      </c>
      <c r="H42" s="116" t="s">
        <v>326</v>
      </c>
      <c r="I42" s="36" t="s">
        <v>328</v>
      </c>
      <c r="J42" s="36" t="s">
        <v>329</v>
      </c>
      <c r="K42" s="21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23"/>
      <c r="B43" s="33" t="s">
        <v>119</v>
      </c>
      <c r="C43" s="34" t="s">
        <v>120</v>
      </c>
      <c r="D43" s="35">
        <v>27813.0</v>
      </c>
      <c r="E43" s="35" t="s">
        <v>332</v>
      </c>
      <c r="F43" s="35" t="s">
        <v>277</v>
      </c>
      <c r="G43" s="33">
        <v>3.0</v>
      </c>
      <c r="H43" s="36" t="s">
        <v>333</v>
      </c>
      <c r="I43" s="37" t="s">
        <v>334</v>
      </c>
      <c r="J43" s="142" t="s">
        <v>335</v>
      </c>
      <c r="K43" s="143" t="s">
        <v>336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23"/>
      <c r="B44" s="33" t="s">
        <v>134</v>
      </c>
      <c r="C44" s="34" t="s">
        <v>135</v>
      </c>
      <c r="D44" s="35">
        <v>37826.0</v>
      </c>
      <c r="E44" s="35" t="s">
        <v>299</v>
      </c>
      <c r="F44" s="35" t="s">
        <v>124</v>
      </c>
      <c r="G44" s="33">
        <v>3.0</v>
      </c>
      <c r="H44" s="36" t="s">
        <v>300</v>
      </c>
      <c r="I44" s="136" t="s">
        <v>302</v>
      </c>
      <c r="J44" s="51" t="s">
        <v>339</v>
      </c>
      <c r="K44" s="21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23"/>
      <c r="B45" s="33" t="s">
        <v>143</v>
      </c>
      <c r="C45" s="34" t="s">
        <v>144</v>
      </c>
      <c r="D45" s="35">
        <v>37809.0</v>
      </c>
      <c r="E45" s="35" t="s">
        <v>35</v>
      </c>
      <c r="F45" s="35" t="s">
        <v>124</v>
      </c>
      <c r="G45" s="33">
        <v>3.0</v>
      </c>
      <c r="H45" s="36" t="s">
        <v>340</v>
      </c>
      <c r="I45" s="37" t="s">
        <v>270</v>
      </c>
      <c r="J45" s="37" t="s">
        <v>341</v>
      </c>
      <c r="K45" s="21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23"/>
      <c r="B46" s="33" t="s">
        <v>157</v>
      </c>
      <c r="C46" s="34" t="s">
        <v>158</v>
      </c>
      <c r="D46" s="35">
        <v>37818.0</v>
      </c>
      <c r="E46" s="35" t="s">
        <v>226</v>
      </c>
      <c r="F46" s="35" t="s">
        <v>345</v>
      </c>
      <c r="G46" s="33">
        <v>3.0</v>
      </c>
      <c r="H46" s="36" t="s">
        <v>340</v>
      </c>
      <c r="I46" s="36" t="s">
        <v>212</v>
      </c>
      <c r="J46" s="62" t="s">
        <v>346</v>
      </c>
      <c r="K46" s="61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85"/>
      <c r="B47" s="86" t="s">
        <v>167</v>
      </c>
      <c r="C47" s="13"/>
      <c r="D47" s="13"/>
      <c r="E47" s="13"/>
      <c r="F47" s="18"/>
      <c r="G47" s="88">
        <f>SUM(G36:G46)</f>
        <v>30.5</v>
      </c>
      <c r="H47" s="90"/>
      <c r="I47" s="90"/>
      <c r="J47" s="90"/>
      <c r="K47" s="21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92"/>
      <c r="I48" s="5"/>
      <c r="J48" s="92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92"/>
      <c r="I49" s="5"/>
      <c r="J49" s="92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6" t="str">
        <f>B50</f>
        <v>ELEM104</v>
      </c>
      <c r="B50" s="151" t="s">
        <v>361</v>
      </c>
      <c r="C50" s="13"/>
      <c r="D50" s="13"/>
      <c r="E50" s="13"/>
      <c r="F50" s="13"/>
      <c r="G50" s="13"/>
      <c r="H50" s="13"/>
      <c r="I50" s="13"/>
      <c r="J50" s="13"/>
      <c r="K50" s="1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23"/>
      <c r="B51" s="24" t="s">
        <v>1</v>
      </c>
      <c r="C51" s="24" t="s">
        <v>2</v>
      </c>
      <c r="D51" s="24" t="s">
        <v>3</v>
      </c>
      <c r="E51" s="24" t="s">
        <v>4</v>
      </c>
      <c r="F51" s="24" t="s">
        <v>5</v>
      </c>
      <c r="G51" s="24" t="s">
        <v>6</v>
      </c>
      <c r="H51" s="29" t="s">
        <v>7</v>
      </c>
      <c r="I51" s="27" t="s">
        <v>8</v>
      </c>
      <c r="J51" s="29" t="s">
        <v>9</v>
      </c>
      <c r="K51" s="27" t="s">
        <v>10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23"/>
      <c r="B52" s="33" t="s">
        <v>33</v>
      </c>
      <c r="C52" s="34" t="s">
        <v>34</v>
      </c>
      <c r="D52" s="35">
        <v>37836.0</v>
      </c>
      <c r="E52" s="35" t="s">
        <v>71</v>
      </c>
      <c r="F52" s="35" t="s">
        <v>85</v>
      </c>
      <c r="G52" s="33">
        <v>3.0</v>
      </c>
      <c r="H52" s="36" t="s">
        <v>206</v>
      </c>
      <c r="I52" s="36" t="s">
        <v>371</v>
      </c>
      <c r="J52" s="156" t="s">
        <v>372</v>
      </c>
      <c r="K52" s="61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23"/>
      <c r="B53" s="33" t="s">
        <v>45</v>
      </c>
      <c r="C53" s="34" t="s">
        <v>46</v>
      </c>
      <c r="D53" s="35">
        <v>37848.0</v>
      </c>
      <c r="E53" s="35" t="s">
        <v>24</v>
      </c>
      <c r="F53" s="35" t="s">
        <v>374</v>
      </c>
      <c r="G53" s="33">
        <v>3.0</v>
      </c>
      <c r="H53" s="36" t="s">
        <v>376</v>
      </c>
      <c r="I53" s="37" t="s">
        <v>378</v>
      </c>
      <c r="J53" s="105" t="s">
        <v>380</v>
      </c>
      <c r="K53" s="21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23"/>
      <c r="B54" s="33" t="s">
        <v>61</v>
      </c>
      <c r="C54" s="34" t="s">
        <v>62</v>
      </c>
      <c r="D54" s="35">
        <v>37846.0</v>
      </c>
      <c r="E54" s="35" t="s">
        <v>24</v>
      </c>
      <c r="F54" s="35" t="s">
        <v>160</v>
      </c>
      <c r="G54" s="33">
        <v>3.0</v>
      </c>
      <c r="H54" s="36" t="s">
        <v>38</v>
      </c>
      <c r="I54" s="36" t="s">
        <v>220</v>
      </c>
      <c r="J54" s="62" t="s">
        <v>383</v>
      </c>
      <c r="K54" s="61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23"/>
      <c r="B55" s="33" t="s">
        <v>66</v>
      </c>
      <c r="C55" s="34" t="s">
        <v>68</v>
      </c>
      <c r="D55" s="35">
        <v>37832.0</v>
      </c>
      <c r="E55" s="35" t="s">
        <v>145</v>
      </c>
      <c r="F55" s="35" t="s">
        <v>314</v>
      </c>
      <c r="G55" s="33">
        <v>1.5</v>
      </c>
      <c r="H55" s="36" t="s">
        <v>215</v>
      </c>
      <c r="I55" s="37" t="s">
        <v>316</v>
      </c>
      <c r="J55" s="139" t="s">
        <v>389</v>
      </c>
      <c r="K55" s="119" t="s">
        <v>391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23"/>
      <c r="B56" s="35" t="s">
        <v>79</v>
      </c>
      <c r="C56" s="65" t="s">
        <v>80</v>
      </c>
      <c r="D56" s="35">
        <v>37842.0</v>
      </c>
      <c r="E56" s="35" t="s">
        <v>15</v>
      </c>
      <c r="F56" s="35" t="s">
        <v>85</v>
      </c>
      <c r="G56" s="33">
        <v>3.0</v>
      </c>
      <c r="H56" s="25" t="s">
        <v>38</v>
      </c>
      <c r="I56" s="36" t="s">
        <v>398</v>
      </c>
      <c r="J56" s="36" t="s">
        <v>399</v>
      </c>
      <c r="K56" s="21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23"/>
      <c r="B57" s="33" t="s">
        <v>94</v>
      </c>
      <c r="C57" s="34" t="s">
        <v>95</v>
      </c>
      <c r="D57" s="35">
        <v>37838.0</v>
      </c>
      <c r="E57" s="35" t="s">
        <v>71</v>
      </c>
      <c r="F57" s="35" t="s">
        <v>255</v>
      </c>
      <c r="G57" s="33">
        <v>3.0</v>
      </c>
      <c r="H57" s="36" t="s">
        <v>206</v>
      </c>
      <c r="I57" s="161"/>
      <c r="J57" s="162"/>
      <c r="K57" s="21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23"/>
      <c r="B58" s="33" t="s">
        <v>107</v>
      </c>
      <c r="C58" s="34" t="s">
        <v>108</v>
      </c>
      <c r="D58" s="35">
        <v>37844.0</v>
      </c>
      <c r="E58" s="35" t="s">
        <v>15</v>
      </c>
      <c r="F58" s="35" t="s">
        <v>109</v>
      </c>
      <c r="G58" s="33">
        <v>2.0</v>
      </c>
      <c r="H58" s="116" t="s">
        <v>111</v>
      </c>
      <c r="I58" s="36" t="s">
        <v>248</v>
      </c>
      <c r="J58" s="36" t="s">
        <v>408</v>
      </c>
      <c r="K58" s="36" t="s">
        <v>409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23"/>
      <c r="B59" s="33" t="s">
        <v>119</v>
      </c>
      <c r="C59" s="34" t="s">
        <v>120</v>
      </c>
      <c r="D59" s="35">
        <v>37830.0</v>
      </c>
      <c r="E59" s="35" t="s">
        <v>145</v>
      </c>
      <c r="F59" s="35" t="s">
        <v>414</v>
      </c>
      <c r="G59" s="33">
        <v>3.0</v>
      </c>
      <c r="H59" s="36" t="s">
        <v>206</v>
      </c>
      <c r="I59" s="37" t="s">
        <v>334</v>
      </c>
      <c r="J59" s="163" t="s">
        <v>415</v>
      </c>
      <c r="K59" s="21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23"/>
      <c r="B60" s="33" t="s">
        <v>134</v>
      </c>
      <c r="C60" s="34" t="s">
        <v>135</v>
      </c>
      <c r="D60" s="35">
        <v>37840.0</v>
      </c>
      <c r="E60" s="35" t="s">
        <v>15</v>
      </c>
      <c r="F60" s="35" t="s">
        <v>261</v>
      </c>
      <c r="G60" s="33">
        <v>3.0</v>
      </c>
      <c r="H60" s="36" t="s">
        <v>206</v>
      </c>
      <c r="I60" s="37" t="s">
        <v>264</v>
      </c>
      <c r="J60" s="39" t="s">
        <v>419</v>
      </c>
      <c r="K60" s="21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23"/>
      <c r="B61" s="33" t="s">
        <v>143</v>
      </c>
      <c r="C61" s="65" t="s">
        <v>144</v>
      </c>
      <c r="D61" s="35">
        <v>37834.0</v>
      </c>
      <c r="E61" s="35" t="s">
        <v>145</v>
      </c>
      <c r="F61" s="35" t="s">
        <v>44</v>
      </c>
      <c r="G61" s="33">
        <v>3.0</v>
      </c>
      <c r="H61" s="36" t="s">
        <v>206</v>
      </c>
      <c r="I61" s="37" t="s">
        <v>423</v>
      </c>
      <c r="J61" s="164" t="s">
        <v>424</v>
      </c>
      <c r="K61" s="21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23"/>
      <c r="B62" s="33" t="s">
        <v>157</v>
      </c>
      <c r="C62" s="34" t="s">
        <v>158</v>
      </c>
      <c r="D62" s="35">
        <v>37850.0</v>
      </c>
      <c r="E62" s="35" t="s">
        <v>24</v>
      </c>
      <c r="F62" s="35" t="s">
        <v>255</v>
      </c>
      <c r="G62" s="33">
        <v>3.0</v>
      </c>
      <c r="H62" s="36" t="s">
        <v>51</v>
      </c>
      <c r="I62" s="36" t="s">
        <v>427</v>
      </c>
      <c r="J62" s="62" t="s">
        <v>428</v>
      </c>
      <c r="K62" s="168" t="s">
        <v>429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85"/>
      <c r="B63" s="86" t="s">
        <v>167</v>
      </c>
      <c r="C63" s="13"/>
      <c r="D63" s="13"/>
      <c r="E63" s="13"/>
      <c r="F63" s="18"/>
      <c r="G63" s="88">
        <f>SUM(G52:G62)</f>
        <v>30.5</v>
      </c>
      <c r="H63" s="90"/>
      <c r="I63" s="21"/>
      <c r="J63" s="90"/>
      <c r="K63" s="21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92"/>
      <c r="I64" s="5"/>
      <c r="J64" s="92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92"/>
      <c r="I65" s="5"/>
      <c r="J65" s="92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100" t="s">
        <v>443</v>
      </c>
      <c r="B66" s="11" t="s">
        <v>443</v>
      </c>
      <c r="C66" s="13"/>
      <c r="D66" s="13"/>
      <c r="E66" s="13"/>
      <c r="F66" s="13"/>
      <c r="G66" s="13"/>
      <c r="H66" s="13"/>
      <c r="I66" s="13"/>
      <c r="J66" s="13"/>
      <c r="K66" s="18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B67" s="24" t="s">
        <v>1</v>
      </c>
      <c r="C67" s="24" t="s">
        <v>2</v>
      </c>
      <c r="D67" s="24" t="s">
        <v>3</v>
      </c>
      <c r="E67" s="24" t="s">
        <v>4</v>
      </c>
      <c r="F67" s="24" t="s">
        <v>5</v>
      </c>
      <c r="G67" s="24" t="s">
        <v>6</v>
      </c>
      <c r="H67" s="173"/>
      <c r="I67" s="27" t="s">
        <v>8</v>
      </c>
      <c r="J67" s="29" t="s">
        <v>9</v>
      </c>
      <c r="K67" s="27" t="s">
        <v>10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B68" s="33" t="s">
        <v>451</v>
      </c>
      <c r="C68" s="34" t="s">
        <v>452</v>
      </c>
      <c r="D68" s="35">
        <v>37945.0</v>
      </c>
      <c r="E68" s="35" t="s">
        <v>454</v>
      </c>
      <c r="F68" s="35" t="s">
        <v>456</v>
      </c>
      <c r="G68" s="33">
        <v>3.0</v>
      </c>
      <c r="H68" s="36" t="s">
        <v>457</v>
      </c>
      <c r="I68" s="36" t="s">
        <v>459</v>
      </c>
      <c r="J68" s="36" t="s">
        <v>460</v>
      </c>
      <c r="K68" s="21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B69" s="33" t="s">
        <v>464</v>
      </c>
      <c r="C69" s="34" t="s">
        <v>465</v>
      </c>
      <c r="D69" s="35">
        <v>37943.0</v>
      </c>
      <c r="E69" s="35" t="s">
        <v>145</v>
      </c>
      <c r="F69" s="35" t="s">
        <v>44</v>
      </c>
      <c r="G69" s="33">
        <v>3.0</v>
      </c>
      <c r="H69" s="36" t="s">
        <v>466</v>
      </c>
      <c r="I69" s="176" t="s">
        <v>468</v>
      </c>
      <c r="J69" s="136" t="s">
        <v>470</v>
      </c>
      <c r="K69" s="168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B70" s="33" t="s">
        <v>472</v>
      </c>
      <c r="C70" s="34" t="s">
        <v>473</v>
      </c>
      <c r="D70" s="66">
        <v>37951.0</v>
      </c>
      <c r="E70" s="35" t="s">
        <v>15</v>
      </c>
      <c r="F70" s="35" t="s">
        <v>160</v>
      </c>
      <c r="G70" s="33">
        <v>3.0</v>
      </c>
      <c r="H70" s="36" t="s">
        <v>477</v>
      </c>
      <c r="I70" s="119" t="s">
        <v>88</v>
      </c>
      <c r="J70" s="66" t="s">
        <v>478</v>
      </c>
      <c r="K70" s="21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B71" s="33" t="s">
        <v>410</v>
      </c>
      <c r="C71" s="34" t="s">
        <v>453</v>
      </c>
      <c r="D71" s="35">
        <v>37941.0</v>
      </c>
      <c r="E71" s="35" t="s">
        <v>145</v>
      </c>
      <c r="F71" s="35" t="s">
        <v>100</v>
      </c>
      <c r="G71" s="33">
        <v>1.5</v>
      </c>
      <c r="H71" s="36" t="s">
        <v>466</v>
      </c>
      <c r="I71" s="36" t="s">
        <v>104</v>
      </c>
      <c r="J71" s="179" t="s">
        <v>483</v>
      </c>
      <c r="K71" s="21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B72" s="33" t="s">
        <v>467</v>
      </c>
      <c r="C72" s="34" t="s">
        <v>469</v>
      </c>
      <c r="D72" s="35">
        <v>37955.0</v>
      </c>
      <c r="E72" s="35" t="s">
        <v>24</v>
      </c>
      <c r="F72" s="35" t="s">
        <v>486</v>
      </c>
      <c r="G72" s="33">
        <v>2.0</v>
      </c>
      <c r="H72" s="36" t="s">
        <v>312</v>
      </c>
      <c r="I72" s="37" t="s">
        <v>292</v>
      </c>
      <c r="J72" s="164" t="s">
        <v>488</v>
      </c>
      <c r="K72" s="21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B73" s="33" t="s">
        <v>489</v>
      </c>
      <c r="C73" s="34" t="s">
        <v>490</v>
      </c>
      <c r="D73" s="35">
        <v>37953.0</v>
      </c>
      <c r="E73" s="35" t="s">
        <v>491</v>
      </c>
      <c r="F73" s="35" t="s">
        <v>314</v>
      </c>
      <c r="G73" s="33">
        <v>3.0</v>
      </c>
      <c r="H73" s="36" t="s">
        <v>492</v>
      </c>
      <c r="I73" s="37" t="s">
        <v>493</v>
      </c>
      <c r="J73" s="122" t="s">
        <v>494</v>
      </c>
      <c r="K73" s="21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B74" s="33" t="s">
        <v>496</v>
      </c>
      <c r="C74" s="34" t="s">
        <v>497</v>
      </c>
      <c r="D74" s="35">
        <v>37949.0</v>
      </c>
      <c r="E74" s="35" t="s">
        <v>71</v>
      </c>
      <c r="F74" s="35" t="s">
        <v>48</v>
      </c>
      <c r="G74" s="33">
        <v>3.0</v>
      </c>
      <c r="H74" s="36" t="s">
        <v>281</v>
      </c>
      <c r="I74" s="37" t="s">
        <v>499</v>
      </c>
      <c r="J74" s="182"/>
      <c r="K74" s="61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B75" s="33" t="s">
        <v>501</v>
      </c>
      <c r="C75" s="34" t="s">
        <v>502</v>
      </c>
      <c r="D75" s="35">
        <v>37939.0</v>
      </c>
      <c r="E75" s="35" t="s">
        <v>145</v>
      </c>
      <c r="F75" s="35" t="s">
        <v>160</v>
      </c>
      <c r="G75" s="33">
        <v>3.0</v>
      </c>
      <c r="H75" s="36" t="s">
        <v>466</v>
      </c>
      <c r="I75" s="37" t="s">
        <v>220</v>
      </c>
      <c r="J75" s="35" t="s">
        <v>503</v>
      </c>
      <c r="K75" s="71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B76" s="33" t="s">
        <v>505</v>
      </c>
      <c r="C76" s="34" t="s">
        <v>506</v>
      </c>
      <c r="D76" s="35">
        <v>37957.0</v>
      </c>
      <c r="E76" s="35" t="s">
        <v>24</v>
      </c>
      <c r="F76" s="35" t="s">
        <v>85</v>
      </c>
      <c r="G76" s="33">
        <v>3.0</v>
      </c>
      <c r="H76" s="36" t="s">
        <v>51</v>
      </c>
      <c r="I76" s="185" t="s">
        <v>398</v>
      </c>
      <c r="J76" s="185" t="s">
        <v>507</v>
      </c>
      <c r="K76" s="61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B77" s="35" t="s">
        <v>509</v>
      </c>
      <c r="C77" s="34" t="s">
        <v>510</v>
      </c>
      <c r="D77" s="35">
        <v>37947.0</v>
      </c>
      <c r="E77" s="35" t="s">
        <v>71</v>
      </c>
      <c r="F77" s="35" t="s">
        <v>44</v>
      </c>
      <c r="G77" s="33">
        <v>3.0</v>
      </c>
      <c r="H77" s="36" t="s">
        <v>281</v>
      </c>
      <c r="I77" s="37" t="s">
        <v>512</v>
      </c>
      <c r="J77" s="37" t="s">
        <v>513</v>
      </c>
      <c r="K77" s="21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21.0" customHeight="1">
      <c r="B78" s="35" t="s">
        <v>516</v>
      </c>
      <c r="C78" s="65" t="s">
        <v>518</v>
      </c>
      <c r="D78" s="35">
        <v>37937.0</v>
      </c>
      <c r="E78" s="35" t="s">
        <v>519</v>
      </c>
      <c r="F78" s="35" t="s">
        <v>520</v>
      </c>
      <c r="G78" s="35">
        <v>3.0</v>
      </c>
      <c r="H78" s="36" t="s">
        <v>521</v>
      </c>
      <c r="I78" s="37" t="s">
        <v>235</v>
      </c>
      <c r="J78" s="69" t="s">
        <v>522</v>
      </c>
      <c r="K78" s="21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B79" s="86" t="s">
        <v>167</v>
      </c>
      <c r="C79" s="13"/>
      <c r="D79" s="13"/>
      <c r="E79" s="13"/>
      <c r="F79" s="18"/>
      <c r="G79" s="88">
        <f>SUM(G68:G78)</f>
        <v>30.5</v>
      </c>
      <c r="H79" s="90"/>
      <c r="I79" s="21"/>
      <c r="J79" s="90"/>
      <c r="K79" s="21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92"/>
      <c r="I80" s="5"/>
      <c r="J80" s="92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92"/>
      <c r="I81" s="5"/>
      <c r="J81" s="92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100" t="s">
        <v>533</v>
      </c>
      <c r="B82" s="11" t="s">
        <v>533</v>
      </c>
      <c r="C82" s="13"/>
      <c r="D82" s="13"/>
      <c r="E82" s="13"/>
      <c r="F82" s="13"/>
      <c r="G82" s="13"/>
      <c r="H82" s="13"/>
      <c r="I82" s="13"/>
      <c r="J82" s="13"/>
      <c r="K82" s="18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B83" s="24" t="s">
        <v>1</v>
      </c>
      <c r="C83" s="24" t="s">
        <v>2</v>
      </c>
      <c r="D83" s="24" t="s">
        <v>3</v>
      </c>
      <c r="E83" s="24" t="s">
        <v>4</v>
      </c>
      <c r="F83" s="24" t="s">
        <v>5</v>
      </c>
      <c r="G83" s="24" t="s">
        <v>6</v>
      </c>
      <c r="H83" s="173"/>
      <c r="I83" s="27" t="s">
        <v>8</v>
      </c>
      <c r="J83" s="29" t="s">
        <v>9</v>
      </c>
      <c r="K83" s="27" t="s">
        <v>10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B84" s="33" t="s">
        <v>451</v>
      </c>
      <c r="C84" s="34" t="s">
        <v>452</v>
      </c>
      <c r="D84" s="191">
        <v>37959.0</v>
      </c>
      <c r="E84" s="35" t="s">
        <v>83</v>
      </c>
      <c r="F84" s="35" t="s">
        <v>538</v>
      </c>
      <c r="G84" s="33">
        <v>3.0</v>
      </c>
      <c r="H84" s="192" t="s">
        <v>281</v>
      </c>
      <c r="I84" s="193" t="s">
        <v>459</v>
      </c>
      <c r="J84" s="37" t="s">
        <v>540</v>
      </c>
      <c r="K84" s="21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B85" s="33" t="s">
        <v>464</v>
      </c>
      <c r="C85" s="34" t="s">
        <v>465</v>
      </c>
      <c r="D85" s="191">
        <v>37975.0</v>
      </c>
      <c r="E85" s="35" t="s">
        <v>24</v>
      </c>
      <c r="F85" s="35" t="s">
        <v>44</v>
      </c>
      <c r="G85" s="33">
        <v>3.0</v>
      </c>
      <c r="H85" s="36" t="s">
        <v>38</v>
      </c>
      <c r="I85" s="194" t="s">
        <v>544</v>
      </c>
      <c r="J85" s="195" t="s">
        <v>546</v>
      </c>
      <c r="K85" s="61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B86" s="33" t="s">
        <v>472</v>
      </c>
      <c r="C86" s="34" t="s">
        <v>473</v>
      </c>
      <c r="D86" s="66">
        <v>37971.0</v>
      </c>
      <c r="E86" s="35" t="s">
        <v>217</v>
      </c>
      <c r="F86" s="35" t="s">
        <v>44</v>
      </c>
      <c r="G86" s="33">
        <v>3.0</v>
      </c>
      <c r="H86" s="192" t="s">
        <v>477</v>
      </c>
      <c r="I86" s="196" t="s">
        <v>88</v>
      </c>
      <c r="J86" s="66" t="s">
        <v>548</v>
      </c>
      <c r="K86" s="21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B87" s="33" t="s">
        <v>410</v>
      </c>
      <c r="C87" s="34" t="s">
        <v>453</v>
      </c>
      <c r="D87" s="191">
        <v>37967.0</v>
      </c>
      <c r="E87" s="35" t="s">
        <v>217</v>
      </c>
      <c r="F87" s="35" t="s">
        <v>552</v>
      </c>
      <c r="G87" s="33">
        <v>1.5</v>
      </c>
      <c r="H87" s="36" t="s">
        <v>281</v>
      </c>
      <c r="I87" s="37" t="s">
        <v>553</v>
      </c>
      <c r="J87" s="37" t="s">
        <v>555</v>
      </c>
      <c r="K87" s="21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B88" s="33" t="s">
        <v>467</v>
      </c>
      <c r="C88" s="34" t="s">
        <v>469</v>
      </c>
      <c r="D88" s="191">
        <v>37963.0</v>
      </c>
      <c r="E88" s="35" t="s">
        <v>145</v>
      </c>
      <c r="F88" s="35" t="s">
        <v>556</v>
      </c>
      <c r="G88" s="33">
        <v>2.0</v>
      </c>
      <c r="H88" s="36" t="s">
        <v>149</v>
      </c>
      <c r="I88" s="37" t="s">
        <v>557</v>
      </c>
      <c r="J88" s="39" t="s">
        <v>559</v>
      </c>
      <c r="K88" s="61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B89" s="33" t="s">
        <v>489</v>
      </c>
      <c r="C89" s="34" t="s">
        <v>490</v>
      </c>
      <c r="D89" s="191">
        <v>37961.0</v>
      </c>
      <c r="E89" s="35" t="s">
        <v>83</v>
      </c>
      <c r="F89" s="35" t="s">
        <v>48</v>
      </c>
      <c r="G89" s="33">
        <v>3.0</v>
      </c>
      <c r="H89" s="36" t="s">
        <v>281</v>
      </c>
      <c r="I89" s="37" t="s">
        <v>563</v>
      </c>
      <c r="J89" s="182"/>
      <c r="K89" s="21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B90" s="33" t="s">
        <v>496</v>
      </c>
      <c r="C90" s="34" t="s">
        <v>497</v>
      </c>
      <c r="D90" s="201">
        <v>37973.0</v>
      </c>
      <c r="E90" s="35" t="s">
        <v>217</v>
      </c>
      <c r="F90" s="35" t="s">
        <v>48</v>
      </c>
      <c r="G90" s="33">
        <v>3.0</v>
      </c>
      <c r="H90" s="36" t="s">
        <v>281</v>
      </c>
      <c r="I90" s="37" t="s">
        <v>499</v>
      </c>
      <c r="J90" s="202" t="s">
        <v>569</v>
      </c>
      <c r="K90" s="21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B91" s="33" t="s">
        <v>501</v>
      </c>
      <c r="C91" s="34" t="s">
        <v>502</v>
      </c>
      <c r="D91" s="201">
        <v>38227.0</v>
      </c>
      <c r="E91" s="35" t="s">
        <v>83</v>
      </c>
      <c r="F91" s="35" t="s">
        <v>160</v>
      </c>
      <c r="G91" s="33">
        <v>3.0</v>
      </c>
      <c r="H91" s="36" t="s">
        <v>574</v>
      </c>
      <c r="I91" s="37" t="s">
        <v>220</v>
      </c>
      <c r="J91" s="204" t="s">
        <v>575</v>
      </c>
      <c r="K91" s="61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B92" s="33" t="s">
        <v>505</v>
      </c>
      <c r="C92" s="34" t="s">
        <v>506</v>
      </c>
      <c r="D92" s="201">
        <v>37977.0</v>
      </c>
      <c r="E92" s="35" t="s">
        <v>24</v>
      </c>
      <c r="F92" s="35" t="s">
        <v>48</v>
      </c>
      <c r="G92" s="33">
        <v>3.0</v>
      </c>
      <c r="H92" s="36" t="s">
        <v>38</v>
      </c>
      <c r="I92" s="185" t="s">
        <v>398</v>
      </c>
      <c r="J92" s="185" t="s">
        <v>576</v>
      </c>
      <c r="K92" s="21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B93" s="35" t="s">
        <v>509</v>
      </c>
      <c r="C93" s="34" t="s">
        <v>510</v>
      </c>
      <c r="D93" s="201">
        <v>37965.0</v>
      </c>
      <c r="E93" s="35" t="s">
        <v>145</v>
      </c>
      <c r="F93" s="35" t="s">
        <v>44</v>
      </c>
      <c r="G93" s="33">
        <v>3.0</v>
      </c>
      <c r="H93" s="36" t="s">
        <v>281</v>
      </c>
      <c r="I93" s="37" t="s">
        <v>207</v>
      </c>
      <c r="J93" s="37" t="s">
        <v>579</v>
      </c>
      <c r="K93" s="21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20.25" customHeight="1">
      <c r="B94" s="35" t="s">
        <v>516</v>
      </c>
      <c r="C94" s="65" t="s">
        <v>518</v>
      </c>
      <c r="D94" s="201">
        <v>37965.0</v>
      </c>
      <c r="E94" s="36" t="s">
        <v>217</v>
      </c>
      <c r="F94" s="36" t="s">
        <v>124</v>
      </c>
      <c r="G94" s="36">
        <v>3.0</v>
      </c>
      <c r="H94" s="36" t="s">
        <v>281</v>
      </c>
      <c r="I94" s="119" t="s">
        <v>235</v>
      </c>
      <c r="J94" s="69" t="s">
        <v>583</v>
      </c>
      <c r="K94" s="21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B95" s="86" t="s">
        <v>167</v>
      </c>
      <c r="C95" s="13"/>
      <c r="D95" s="13"/>
      <c r="E95" s="13"/>
      <c r="F95" s="18"/>
      <c r="G95" s="88">
        <f>SUM(G84:G94)</f>
        <v>30.5</v>
      </c>
      <c r="H95" s="90"/>
      <c r="I95" s="21"/>
      <c r="J95" s="90"/>
      <c r="K95" s="21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92"/>
      <c r="I96" s="5"/>
      <c r="J96" s="92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100" t="s">
        <v>587</v>
      </c>
      <c r="B97" s="11" t="s">
        <v>587</v>
      </c>
      <c r="C97" s="13"/>
      <c r="D97" s="13"/>
      <c r="E97" s="13"/>
      <c r="F97" s="13"/>
      <c r="G97" s="13"/>
      <c r="H97" s="13"/>
      <c r="I97" s="13"/>
      <c r="J97" s="13"/>
      <c r="K97" s="18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B98" s="24" t="s">
        <v>1</v>
      </c>
      <c r="C98" s="24" t="s">
        <v>2</v>
      </c>
      <c r="D98" s="24" t="s">
        <v>3</v>
      </c>
      <c r="E98" s="24" t="s">
        <v>4</v>
      </c>
      <c r="F98" s="24" t="s">
        <v>5</v>
      </c>
      <c r="G98" s="24" t="s">
        <v>6</v>
      </c>
      <c r="H98" s="173"/>
      <c r="I98" s="27" t="s">
        <v>8</v>
      </c>
      <c r="J98" s="29" t="s">
        <v>9</v>
      </c>
      <c r="K98" s="27" t="s">
        <v>10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B99" s="33" t="s">
        <v>595</v>
      </c>
      <c r="C99" s="34" t="s">
        <v>596</v>
      </c>
      <c r="D99" s="211">
        <v>37379.0</v>
      </c>
      <c r="E99" s="35" t="s">
        <v>83</v>
      </c>
      <c r="F99" s="35" t="s">
        <v>597</v>
      </c>
      <c r="G99" s="33">
        <v>3.0</v>
      </c>
      <c r="H99" s="36" t="s">
        <v>74</v>
      </c>
      <c r="I99" s="105" t="s">
        <v>88</v>
      </c>
      <c r="J99" s="105" t="s">
        <v>600</v>
      </c>
      <c r="K99" s="21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B100" s="33" t="s">
        <v>604</v>
      </c>
      <c r="C100" s="34" t="s">
        <v>605</v>
      </c>
      <c r="D100" s="201">
        <v>37990.0</v>
      </c>
      <c r="E100" s="35" t="s">
        <v>217</v>
      </c>
      <c r="F100" s="35" t="s">
        <v>607</v>
      </c>
      <c r="G100" s="33">
        <v>3.0</v>
      </c>
      <c r="H100" s="36" t="s">
        <v>74</v>
      </c>
      <c r="I100" s="37" t="s">
        <v>608</v>
      </c>
      <c r="J100" s="37" t="s">
        <v>609</v>
      </c>
      <c r="K100" s="119" t="s">
        <v>598</v>
      </c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B101" s="33" t="s">
        <v>610</v>
      </c>
      <c r="C101" s="34" t="s">
        <v>611</v>
      </c>
      <c r="D101" s="201">
        <v>37981.0</v>
      </c>
      <c r="E101" s="35" t="s">
        <v>83</v>
      </c>
      <c r="F101" s="35" t="s">
        <v>570</v>
      </c>
      <c r="G101" s="33">
        <v>3.0</v>
      </c>
      <c r="H101" s="212" t="s">
        <v>74</v>
      </c>
      <c r="I101" s="213" t="s">
        <v>493</v>
      </c>
      <c r="J101" s="214" t="s">
        <v>613</v>
      </c>
      <c r="K101" s="21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B102" s="33" t="s">
        <v>615</v>
      </c>
      <c r="C102" s="34" t="s">
        <v>616</v>
      </c>
      <c r="D102" s="201">
        <v>37986.0</v>
      </c>
      <c r="E102" s="35" t="s">
        <v>54</v>
      </c>
      <c r="F102" s="35" t="s">
        <v>524</v>
      </c>
      <c r="G102" s="33">
        <v>1.5</v>
      </c>
      <c r="H102" s="36" t="s">
        <v>74</v>
      </c>
      <c r="I102" s="37" t="s">
        <v>75</v>
      </c>
      <c r="J102" s="216" t="s">
        <v>617</v>
      </c>
      <c r="K102" s="21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B103" s="33" t="s">
        <v>618</v>
      </c>
      <c r="C103" s="34" t="s">
        <v>619</v>
      </c>
      <c r="D103" s="201">
        <v>37992.0</v>
      </c>
      <c r="E103" s="35" t="s">
        <v>54</v>
      </c>
      <c r="F103" s="35" t="s">
        <v>63</v>
      </c>
      <c r="G103" s="33">
        <v>3.0</v>
      </c>
      <c r="H103" s="36" t="s">
        <v>51</v>
      </c>
      <c r="I103" s="176" t="s">
        <v>621</v>
      </c>
      <c r="J103" s="217" t="s">
        <v>622</v>
      </c>
      <c r="K103" s="21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B104" s="33" t="s">
        <v>623</v>
      </c>
      <c r="C104" s="34" t="s">
        <v>624</v>
      </c>
      <c r="D104" s="201">
        <v>37988.0</v>
      </c>
      <c r="E104" s="35" t="s">
        <v>217</v>
      </c>
      <c r="F104" s="35" t="s">
        <v>85</v>
      </c>
      <c r="G104" s="33">
        <v>3.0</v>
      </c>
      <c r="H104" s="36" t="s">
        <v>74</v>
      </c>
      <c r="I104" s="213" t="s">
        <v>493</v>
      </c>
      <c r="J104" s="214" t="s">
        <v>626</v>
      </c>
      <c r="K104" s="71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B105" s="33" t="s">
        <v>628</v>
      </c>
      <c r="C105" s="34" t="s">
        <v>629</v>
      </c>
      <c r="D105" s="201">
        <v>37994.0</v>
      </c>
      <c r="E105" s="35" t="s">
        <v>54</v>
      </c>
      <c r="F105" s="35" t="s">
        <v>607</v>
      </c>
      <c r="G105" s="33">
        <v>3.0</v>
      </c>
      <c r="H105" s="36" t="s">
        <v>51</v>
      </c>
      <c r="I105" s="37" t="s">
        <v>631</v>
      </c>
      <c r="J105" s="218" t="s">
        <v>632</v>
      </c>
      <c r="K105" s="61"/>
      <c r="L105" s="5"/>
      <c r="M105" s="21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B106" s="220" t="s">
        <v>636</v>
      </c>
      <c r="C106" s="221" t="s">
        <v>637</v>
      </c>
      <c r="D106" s="201">
        <v>37983.0</v>
      </c>
      <c r="E106" s="35" t="s">
        <v>83</v>
      </c>
      <c r="F106" s="35" t="s">
        <v>255</v>
      </c>
      <c r="G106" s="33">
        <v>3.0</v>
      </c>
      <c r="H106" s="36" t="s">
        <v>74</v>
      </c>
      <c r="I106" s="37" t="s">
        <v>639</v>
      </c>
      <c r="J106" s="36" t="s">
        <v>640</v>
      </c>
      <c r="K106" s="21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B107" s="86" t="s">
        <v>167</v>
      </c>
      <c r="C107" s="13"/>
      <c r="D107" s="13"/>
      <c r="E107" s="13"/>
      <c r="F107" s="18"/>
      <c r="G107" s="88">
        <f>SUM(G99:G106)</f>
        <v>22.5</v>
      </c>
      <c r="H107" s="90"/>
      <c r="I107" s="21"/>
      <c r="J107" s="90"/>
      <c r="K107" s="21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92"/>
      <c r="I108" s="5"/>
      <c r="J108" s="22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92"/>
      <c r="I109" s="5"/>
      <c r="J109" s="22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227" t="s">
        <v>653</v>
      </c>
      <c r="B110" s="151" t="s">
        <v>653</v>
      </c>
      <c r="C110" s="13"/>
      <c r="D110" s="13"/>
      <c r="E110" s="13"/>
      <c r="F110" s="13"/>
      <c r="G110" s="13"/>
      <c r="H110" s="13"/>
      <c r="I110" s="13"/>
      <c r="J110" s="13"/>
      <c r="K110" s="18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B111" s="24" t="s">
        <v>1</v>
      </c>
      <c r="C111" s="24" t="s">
        <v>2</v>
      </c>
      <c r="D111" s="24" t="s">
        <v>3</v>
      </c>
      <c r="E111" s="24" t="s">
        <v>4</v>
      </c>
      <c r="F111" s="24" t="s">
        <v>5</v>
      </c>
      <c r="G111" s="24" t="s">
        <v>6</v>
      </c>
      <c r="H111" s="228" t="s">
        <v>7</v>
      </c>
      <c r="I111" s="27" t="s">
        <v>8</v>
      </c>
      <c r="J111" s="29" t="s">
        <v>9</v>
      </c>
      <c r="K111" s="27" t="s">
        <v>10</v>
      </c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B112" s="33" t="s">
        <v>595</v>
      </c>
      <c r="C112" s="34" t="s">
        <v>596</v>
      </c>
      <c r="D112" s="66">
        <v>38001.0</v>
      </c>
      <c r="E112" s="231" t="s">
        <v>145</v>
      </c>
      <c r="F112" s="66" t="s">
        <v>63</v>
      </c>
      <c r="G112" s="35">
        <v>3.0</v>
      </c>
      <c r="H112" s="36" t="s">
        <v>38</v>
      </c>
      <c r="I112" s="232" t="s">
        <v>88</v>
      </c>
      <c r="J112" s="66" t="s">
        <v>664</v>
      </c>
      <c r="K112" s="21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B113" s="33" t="s">
        <v>604</v>
      </c>
      <c r="C113" s="34" t="s">
        <v>605</v>
      </c>
      <c r="D113" s="233">
        <v>38011.0</v>
      </c>
      <c r="E113" s="35" t="s">
        <v>54</v>
      </c>
      <c r="F113" s="35" t="s">
        <v>44</v>
      </c>
      <c r="G113" s="35">
        <v>3.0</v>
      </c>
      <c r="H113" s="36" t="s">
        <v>669</v>
      </c>
      <c r="I113" s="37" t="s">
        <v>608</v>
      </c>
      <c r="J113" s="37" t="s">
        <v>672</v>
      </c>
      <c r="K113" s="119" t="s">
        <v>32</v>
      </c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B114" s="33" t="s">
        <v>610</v>
      </c>
      <c r="C114" s="34" t="s">
        <v>611</v>
      </c>
      <c r="D114" s="233">
        <v>38009.0</v>
      </c>
      <c r="E114" s="35" t="s">
        <v>54</v>
      </c>
      <c r="F114" s="35" t="s">
        <v>160</v>
      </c>
      <c r="G114" s="35">
        <v>3.0</v>
      </c>
      <c r="H114" s="212" t="s">
        <v>674</v>
      </c>
      <c r="I114" s="235" t="s">
        <v>675</v>
      </c>
      <c r="J114" s="122" t="s">
        <v>677</v>
      </c>
      <c r="K114" s="21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B115" s="33" t="s">
        <v>615</v>
      </c>
      <c r="C115" s="34" t="s">
        <v>616</v>
      </c>
      <c r="D115" s="233">
        <v>37996.0</v>
      </c>
      <c r="E115" s="35" t="s">
        <v>145</v>
      </c>
      <c r="F115" s="35" t="s">
        <v>552</v>
      </c>
      <c r="G115" s="35">
        <v>1.5</v>
      </c>
      <c r="H115" s="36" t="s">
        <v>38</v>
      </c>
      <c r="I115" s="37" t="s">
        <v>75</v>
      </c>
      <c r="J115" s="236"/>
      <c r="K115" s="21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B116" s="33" t="s">
        <v>618</v>
      </c>
      <c r="C116" s="34" t="s">
        <v>619</v>
      </c>
      <c r="D116" s="233">
        <v>37996.0</v>
      </c>
      <c r="E116" s="35" t="s">
        <v>71</v>
      </c>
      <c r="F116" s="35" t="s">
        <v>48</v>
      </c>
      <c r="G116" s="35">
        <v>3.0</v>
      </c>
      <c r="H116" s="36" t="s">
        <v>38</v>
      </c>
      <c r="I116" s="176" t="s">
        <v>621</v>
      </c>
      <c r="J116" s="237" t="s">
        <v>686</v>
      </c>
      <c r="K116" s="21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B117" s="33" t="s">
        <v>623</v>
      </c>
      <c r="C117" s="34" t="s">
        <v>624</v>
      </c>
      <c r="D117" s="233">
        <v>37999.0</v>
      </c>
      <c r="E117" s="35" t="s">
        <v>145</v>
      </c>
      <c r="F117" s="35" t="s">
        <v>124</v>
      </c>
      <c r="G117" s="35">
        <v>3.0</v>
      </c>
      <c r="H117" s="35" t="s">
        <v>38</v>
      </c>
      <c r="I117" s="37" t="s">
        <v>493</v>
      </c>
      <c r="J117" s="214" t="s">
        <v>691</v>
      </c>
      <c r="K117" s="71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B118" s="33" t="s">
        <v>628</v>
      </c>
      <c r="C118" s="34" t="s">
        <v>629</v>
      </c>
      <c r="D118" s="233">
        <v>38013.0</v>
      </c>
      <c r="E118" s="35" t="s">
        <v>54</v>
      </c>
      <c r="F118" s="35" t="s">
        <v>63</v>
      </c>
      <c r="G118" s="35">
        <v>3.0</v>
      </c>
      <c r="H118" s="35" t="s">
        <v>674</v>
      </c>
      <c r="I118" s="176" t="s">
        <v>248</v>
      </c>
      <c r="J118" s="218" t="s">
        <v>696</v>
      </c>
      <c r="K118" s="195" t="s">
        <v>698</v>
      </c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B119" s="220" t="s">
        <v>636</v>
      </c>
      <c r="C119" s="221" t="s">
        <v>637</v>
      </c>
      <c r="D119" s="233">
        <v>38004.0</v>
      </c>
      <c r="E119" s="35" t="s">
        <v>71</v>
      </c>
      <c r="F119" s="35" t="s">
        <v>44</v>
      </c>
      <c r="G119" s="35">
        <v>3.0</v>
      </c>
      <c r="H119" s="35" t="s">
        <v>38</v>
      </c>
      <c r="I119" s="37" t="s">
        <v>702</v>
      </c>
      <c r="J119" s="177" t="s">
        <v>703</v>
      </c>
      <c r="K119" s="239" t="s">
        <v>704</v>
      </c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B120" s="86" t="s">
        <v>167</v>
      </c>
      <c r="C120" s="13"/>
      <c r="D120" s="13"/>
      <c r="E120" s="13"/>
      <c r="F120" s="18"/>
      <c r="G120" s="88">
        <f>SUM(G112:G119)</f>
        <v>22.5</v>
      </c>
      <c r="H120" s="90"/>
      <c r="I120" s="21"/>
      <c r="J120" s="90"/>
      <c r="K120" s="21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92"/>
      <c r="I121" s="5"/>
      <c r="J121" s="92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227" t="s">
        <v>716</v>
      </c>
      <c r="B122" s="151" t="s">
        <v>716</v>
      </c>
      <c r="C122" s="13"/>
      <c r="D122" s="13"/>
      <c r="E122" s="13"/>
      <c r="F122" s="13"/>
      <c r="G122" s="13"/>
      <c r="H122" s="13"/>
      <c r="I122" s="13"/>
      <c r="J122" s="13"/>
      <c r="K122" s="18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B123" s="24" t="s">
        <v>1</v>
      </c>
      <c r="C123" s="24" t="s">
        <v>2</v>
      </c>
      <c r="D123" s="24" t="s">
        <v>3</v>
      </c>
      <c r="E123" s="24" t="s">
        <v>4</v>
      </c>
      <c r="F123" s="24" t="s">
        <v>5</v>
      </c>
      <c r="G123" s="24" t="s">
        <v>6</v>
      </c>
      <c r="H123" s="228" t="s">
        <v>7</v>
      </c>
      <c r="I123" s="27" t="s">
        <v>8</v>
      </c>
      <c r="J123" s="29" t="s">
        <v>9</v>
      </c>
      <c r="K123" s="27" t="s">
        <v>10</v>
      </c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B124" s="33" t="s">
        <v>595</v>
      </c>
      <c r="C124" s="34" t="s">
        <v>596</v>
      </c>
      <c r="D124" s="233">
        <v>38018.0</v>
      </c>
      <c r="E124" s="35" t="s">
        <v>83</v>
      </c>
      <c r="F124" s="35" t="s">
        <v>124</v>
      </c>
      <c r="G124" s="35">
        <v>3.0</v>
      </c>
      <c r="H124" s="36" t="s">
        <v>90</v>
      </c>
      <c r="I124" s="232" t="s">
        <v>235</v>
      </c>
      <c r="J124" s="69" t="s">
        <v>721</v>
      </c>
      <c r="K124" s="21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B125" s="33" t="s">
        <v>604</v>
      </c>
      <c r="C125" s="34" t="s">
        <v>605</v>
      </c>
      <c r="D125" s="233">
        <v>38030.0</v>
      </c>
      <c r="E125" s="35" t="s">
        <v>54</v>
      </c>
      <c r="F125" s="35" t="s">
        <v>255</v>
      </c>
      <c r="G125" s="35">
        <v>3.0</v>
      </c>
      <c r="H125" s="36" t="s">
        <v>38</v>
      </c>
      <c r="I125" s="37" t="s">
        <v>608</v>
      </c>
      <c r="J125" s="37" t="s">
        <v>722</v>
      </c>
      <c r="K125" s="21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B126" s="33" t="s">
        <v>610</v>
      </c>
      <c r="C126" s="34" t="s">
        <v>611</v>
      </c>
      <c r="D126" s="233">
        <v>38028.0</v>
      </c>
      <c r="E126" s="35" t="s">
        <v>54</v>
      </c>
      <c r="F126" s="35" t="s">
        <v>85</v>
      </c>
      <c r="G126" s="35">
        <v>3.0</v>
      </c>
      <c r="H126" s="212" t="s">
        <v>38</v>
      </c>
      <c r="I126" s="235" t="s">
        <v>675</v>
      </c>
      <c r="J126" s="39" t="s">
        <v>725</v>
      </c>
      <c r="K126" s="21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B127" s="33" t="s">
        <v>615</v>
      </c>
      <c r="C127" s="34" t="s">
        <v>616</v>
      </c>
      <c r="D127" s="233">
        <v>38022.0</v>
      </c>
      <c r="E127" s="35" t="s">
        <v>145</v>
      </c>
      <c r="F127" s="35" t="s">
        <v>413</v>
      </c>
      <c r="G127" s="35">
        <v>1.5</v>
      </c>
      <c r="H127" s="36" t="s">
        <v>90</v>
      </c>
      <c r="I127" s="37" t="s">
        <v>553</v>
      </c>
      <c r="J127" s="242"/>
      <c r="K127" s="21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B128" s="33" t="s">
        <v>618</v>
      </c>
      <c r="C128" s="34" t="s">
        <v>619</v>
      </c>
      <c r="D128" s="233">
        <v>38020.0</v>
      </c>
      <c r="E128" s="35" t="s">
        <v>83</v>
      </c>
      <c r="F128" s="35" t="s">
        <v>85</v>
      </c>
      <c r="G128" s="35">
        <v>3.0</v>
      </c>
      <c r="H128" s="36" t="s">
        <v>90</v>
      </c>
      <c r="I128" s="37" t="s">
        <v>728</v>
      </c>
      <c r="J128" s="243" t="s">
        <v>729</v>
      </c>
      <c r="K128" s="21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B129" s="33" t="s">
        <v>623</v>
      </c>
      <c r="C129" s="34" t="s">
        <v>624</v>
      </c>
      <c r="D129" s="233">
        <v>38024.0</v>
      </c>
      <c r="E129" s="35" t="s">
        <v>145</v>
      </c>
      <c r="F129" s="35" t="s">
        <v>85</v>
      </c>
      <c r="G129" s="35">
        <v>3.0</v>
      </c>
      <c r="H129" s="35" t="s">
        <v>90</v>
      </c>
      <c r="I129" s="37" t="s">
        <v>493</v>
      </c>
      <c r="J129" s="122" t="s">
        <v>736</v>
      </c>
      <c r="K129" s="71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B130" s="33" t="s">
        <v>628</v>
      </c>
      <c r="C130" s="34" t="s">
        <v>629</v>
      </c>
      <c r="D130" s="233">
        <v>38016.0</v>
      </c>
      <c r="E130" s="35" t="s">
        <v>83</v>
      </c>
      <c r="F130" s="35" t="s">
        <v>261</v>
      </c>
      <c r="G130" s="35">
        <v>3.0</v>
      </c>
      <c r="H130" s="35" t="s">
        <v>90</v>
      </c>
      <c r="I130" s="176" t="s">
        <v>742</v>
      </c>
      <c r="J130" s="246"/>
      <c r="K130" s="61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B131" s="220" t="s">
        <v>636</v>
      </c>
      <c r="C131" s="221" t="s">
        <v>637</v>
      </c>
      <c r="D131" s="233">
        <v>38026.0</v>
      </c>
      <c r="E131" s="35" t="s">
        <v>54</v>
      </c>
      <c r="F131" s="35" t="s">
        <v>124</v>
      </c>
      <c r="G131" s="35">
        <v>3.0</v>
      </c>
      <c r="H131" s="35" t="s">
        <v>38</v>
      </c>
      <c r="I131" s="37" t="s">
        <v>702</v>
      </c>
      <c r="J131" s="247" t="s">
        <v>746</v>
      </c>
      <c r="K131" s="35" t="s">
        <v>509</v>
      </c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B132" s="86" t="s">
        <v>167</v>
      </c>
      <c r="C132" s="13"/>
      <c r="D132" s="13"/>
      <c r="E132" s="13"/>
      <c r="F132" s="18"/>
      <c r="G132" s="88">
        <f>SUM(G124:G131)</f>
        <v>22.5</v>
      </c>
      <c r="H132" s="90"/>
      <c r="I132" s="21"/>
      <c r="J132" s="90"/>
      <c r="K132" s="21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92"/>
      <c r="I133" s="5"/>
      <c r="J133" s="92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227" t="s">
        <v>754</v>
      </c>
      <c r="B134" s="151" t="s">
        <v>754</v>
      </c>
      <c r="C134" s="13"/>
      <c r="D134" s="13"/>
      <c r="E134" s="13"/>
      <c r="F134" s="13"/>
      <c r="G134" s="13"/>
      <c r="H134" s="13"/>
      <c r="I134" s="13"/>
      <c r="J134" s="13"/>
      <c r="K134" s="18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B135" s="24" t="s">
        <v>1</v>
      </c>
      <c r="C135" s="24" t="s">
        <v>2</v>
      </c>
      <c r="D135" s="24" t="s">
        <v>3</v>
      </c>
      <c r="E135" s="24" t="s">
        <v>4</v>
      </c>
      <c r="F135" s="24" t="s">
        <v>5</v>
      </c>
      <c r="G135" s="24" t="s">
        <v>6</v>
      </c>
      <c r="H135" s="228" t="s">
        <v>7</v>
      </c>
      <c r="I135" s="27" t="s">
        <v>8</v>
      </c>
      <c r="J135" s="29" t="s">
        <v>9</v>
      </c>
      <c r="K135" s="27" t="s">
        <v>10</v>
      </c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B136" s="33" t="s">
        <v>595</v>
      </c>
      <c r="C136" s="34" t="s">
        <v>596</v>
      </c>
      <c r="D136" s="201">
        <v>38038.0</v>
      </c>
      <c r="E136" s="35" t="s">
        <v>24</v>
      </c>
      <c r="F136" s="35" t="s">
        <v>124</v>
      </c>
      <c r="G136" s="35">
        <v>3.0</v>
      </c>
      <c r="H136" s="36" t="s">
        <v>205</v>
      </c>
      <c r="I136" s="232" t="s">
        <v>91</v>
      </c>
      <c r="J136" s="69" t="s">
        <v>759</v>
      </c>
      <c r="K136" s="21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B137" s="33" t="s">
        <v>604</v>
      </c>
      <c r="C137" s="34" t="s">
        <v>605</v>
      </c>
      <c r="D137" s="201">
        <v>38042.0</v>
      </c>
      <c r="E137" s="35" t="s">
        <v>24</v>
      </c>
      <c r="F137" s="35" t="s">
        <v>607</v>
      </c>
      <c r="G137" s="35">
        <v>3.0</v>
      </c>
      <c r="H137" s="36" t="s">
        <v>205</v>
      </c>
      <c r="I137" s="37" t="s">
        <v>608</v>
      </c>
      <c r="J137" s="37" t="s">
        <v>761</v>
      </c>
      <c r="K137" s="36" t="s">
        <v>598</v>
      </c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B138" s="33" t="s">
        <v>610</v>
      </c>
      <c r="C138" s="34" t="s">
        <v>611</v>
      </c>
      <c r="D138" s="201">
        <v>38046.0</v>
      </c>
      <c r="E138" s="35" t="s">
        <v>54</v>
      </c>
      <c r="F138" s="35" t="s">
        <v>255</v>
      </c>
      <c r="G138" s="35">
        <v>3.0</v>
      </c>
      <c r="H138" s="212" t="s">
        <v>90</v>
      </c>
      <c r="I138" s="235" t="s">
        <v>675</v>
      </c>
      <c r="J138" s="39" t="s">
        <v>765</v>
      </c>
      <c r="K138" s="21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B139" s="33" t="s">
        <v>615</v>
      </c>
      <c r="C139" s="34" t="s">
        <v>616</v>
      </c>
      <c r="D139" s="201">
        <v>38034.0</v>
      </c>
      <c r="E139" s="35" t="s">
        <v>71</v>
      </c>
      <c r="F139" s="35" t="s">
        <v>413</v>
      </c>
      <c r="G139" s="35">
        <v>1.5</v>
      </c>
      <c r="H139" s="36" t="s">
        <v>205</v>
      </c>
      <c r="I139" s="37" t="s">
        <v>70</v>
      </c>
      <c r="J139" s="242"/>
      <c r="K139" s="21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B140" s="33" t="s">
        <v>618</v>
      </c>
      <c r="C140" s="34" t="s">
        <v>619</v>
      </c>
      <c r="D140" s="201">
        <v>38036.0</v>
      </c>
      <c r="E140" s="35" t="s">
        <v>71</v>
      </c>
      <c r="F140" s="35" t="s">
        <v>85</v>
      </c>
      <c r="G140" s="35">
        <v>3.0</v>
      </c>
      <c r="H140" s="36" t="s">
        <v>205</v>
      </c>
      <c r="I140" s="37" t="s">
        <v>728</v>
      </c>
      <c r="J140" s="39" t="s">
        <v>769</v>
      </c>
      <c r="K140" s="21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B141" s="33" t="s">
        <v>623</v>
      </c>
      <c r="C141" s="34" t="s">
        <v>624</v>
      </c>
      <c r="D141" s="201">
        <v>38040.0</v>
      </c>
      <c r="E141" s="35" t="s">
        <v>24</v>
      </c>
      <c r="F141" s="35" t="s">
        <v>85</v>
      </c>
      <c r="G141" s="35">
        <v>3.0</v>
      </c>
      <c r="H141" s="35" t="s">
        <v>205</v>
      </c>
      <c r="I141" s="37" t="s">
        <v>493</v>
      </c>
      <c r="J141" s="214" t="s">
        <v>774</v>
      </c>
      <c r="K141" s="71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B142" s="33" t="s">
        <v>628</v>
      </c>
      <c r="C142" s="34" t="s">
        <v>629</v>
      </c>
      <c r="D142" s="201">
        <v>38032.0</v>
      </c>
      <c r="E142" s="35" t="s">
        <v>71</v>
      </c>
      <c r="F142" s="35" t="s">
        <v>261</v>
      </c>
      <c r="G142" s="35">
        <v>3.0</v>
      </c>
      <c r="H142" s="35" t="s">
        <v>90</v>
      </c>
      <c r="I142" s="176" t="s">
        <v>742</v>
      </c>
      <c r="J142" s="246"/>
      <c r="K142" s="61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B143" s="220" t="s">
        <v>636</v>
      </c>
      <c r="C143" s="221" t="s">
        <v>637</v>
      </c>
      <c r="D143" s="201">
        <v>38044.0</v>
      </c>
      <c r="E143" s="35" t="s">
        <v>54</v>
      </c>
      <c r="F143" s="35" t="s">
        <v>85</v>
      </c>
      <c r="G143" s="35">
        <v>3.0</v>
      </c>
      <c r="H143" s="35" t="s">
        <v>205</v>
      </c>
      <c r="I143" s="37" t="s">
        <v>702</v>
      </c>
      <c r="J143" s="247" t="s">
        <v>776</v>
      </c>
      <c r="K143" s="35" t="s">
        <v>509</v>
      </c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B144" s="86" t="s">
        <v>167</v>
      </c>
      <c r="C144" s="13"/>
      <c r="D144" s="13"/>
      <c r="E144" s="13"/>
      <c r="F144" s="18"/>
      <c r="G144" s="88">
        <f>SUM(G136:G143)</f>
        <v>22.5</v>
      </c>
      <c r="H144" s="90"/>
      <c r="I144" s="21"/>
      <c r="J144" s="90"/>
      <c r="K144" s="21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92"/>
      <c r="I145" s="5"/>
      <c r="J145" s="92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92"/>
      <c r="I146" s="5"/>
      <c r="J146" s="92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92"/>
      <c r="I147" s="5"/>
      <c r="J147" s="92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92"/>
      <c r="I148" s="5"/>
      <c r="J148" s="92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254" t="s">
        <v>784</v>
      </c>
      <c r="B149" s="11" t="s">
        <v>784</v>
      </c>
      <c r="C149" s="13"/>
      <c r="D149" s="13"/>
      <c r="E149" s="13"/>
      <c r="F149" s="13"/>
      <c r="G149" s="13"/>
      <c r="H149" s="13"/>
      <c r="I149" s="13"/>
      <c r="J149" s="13"/>
      <c r="K149" s="18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B150" s="24" t="s">
        <v>1</v>
      </c>
      <c r="C150" s="24" t="s">
        <v>2</v>
      </c>
      <c r="D150" s="24" t="s">
        <v>3</v>
      </c>
      <c r="E150" s="24" t="s">
        <v>4</v>
      </c>
      <c r="F150" s="24" t="s">
        <v>5</v>
      </c>
      <c r="G150" s="24" t="s">
        <v>6</v>
      </c>
      <c r="H150" s="102" t="s">
        <v>7</v>
      </c>
      <c r="I150" s="27" t="s">
        <v>8</v>
      </c>
      <c r="J150" s="29" t="s">
        <v>9</v>
      </c>
      <c r="K150" s="27" t="s">
        <v>10</v>
      </c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B151" s="33" t="s">
        <v>792</v>
      </c>
      <c r="C151" s="34" t="s">
        <v>793</v>
      </c>
      <c r="D151" s="201">
        <v>38091.0</v>
      </c>
      <c r="E151" s="35" t="s">
        <v>54</v>
      </c>
      <c r="F151" s="35" t="s">
        <v>794</v>
      </c>
      <c r="G151" s="33">
        <v>1.5</v>
      </c>
      <c r="H151" s="36" t="s">
        <v>574</v>
      </c>
      <c r="I151" s="37" t="s">
        <v>75</v>
      </c>
      <c r="J151" s="74" t="s">
        <v>795</v>
      </c>
      <c r="K151" s="21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B152" s="33" t="s">
        <v>798</v>
      </c>
      <c r="C152" s="34" t="s">
        <v>799</v>
      </c>
      <c r="D152" s="201">
        <v>38088.0</v>
      </c>
      <c r="E152" s="35" t="s">
        <v>800</v>
      </c>
      <c r="F152" s="35" t="s">
        <v>803</v>
      </c>
      <c r="G152" s="33">
        <v>6.0</v>
      </c>
      <c r="H152" s="36" t="s">
        <v>574</v>
      </c>
      <c r="I152" s="36" t="s">
        <v>804</v>
      </c>
      <c r="J152" s="242"/>
      <c r="K152" s="21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B153" s="86" t="s">
        <v>167</v>
      </c>
      <c r="C153" s="13"/>
      <c r="D153" s="13"/>
      <c r="E153" s="13"/>
      <c r="F153" s="18"/>
      <c r="G153" s="88">
        <f>SUM(G151:G152)</f>
        <v>7.5</v>
      </c>
      <c r="H153" s="90"/>
      <c r="I153" s="21"/>
      <c r="J153" s="90"/>
      <c r="K153" s="21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92"/>
      <c r="I154" s="5"/>
      <c r="J154" s="92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100" t="str">
        <f>B155</f>
        <v>FIL 101</v>
      </c>
      <c r="B155" s="11" t="s">
        <v>812</v>
      </c>
      <c r="C155" s="13"/>
      <c r="D155" s="13"/>
      <c r="E155" s="13"/>
      <c r="F155" s="13"/>
      <c r="G155" s="13"/>
      <c r="H155" s="13"/>
      <c r="I155" s="13"/>
      <c r="J155" s="13"/>
      <c r="K155" s="18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B156" s="24" t="s">
        <v>1</v>
      </c>
      <c r="C156" s="24" t="s">
        <v>2</v>
      </c>
      <c r="D156" s="24" t="s">
        <v>3</v>
      </c>
      <c r="E156" s="24" t="s">
        <v>4</v>
      </c>
      <c r="F156" s="24" t="s">
        <v>5</v>
      </c>
      <c r="G156" s="24" t="s">
        <v>6</v>
      </c>
      <c r="H156" s="228" t="s">
        <v>7</v>
      </c>
      <c r="I156" s="27" t="s">
        <v>8</v>
      </c>
      <c r="J156" s="29" t="s">
        <v>9</v>
      </c>
      <c r="K156" s="27" t="s">
        <v>10</v>
      </c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B157" s="33" t="s">
        <v>33</v>
      </c>
      <c r="C157" s="34" t="s">
        <v>34</v>
      </c>
      <c r="D157" s="201">
        <v>37735.0</v>
      </c>
      <c r="E157" s="35" t="s">
        <v>54</v>
      </c>
      <c r="F157" s="35" t="s">
        <v>261</v>
      </c>
      <c r="G157" s="33">
        <v>3.0</v>
      </c>
      <c r="H157" s="36" t="s">
        <v>227</v>
      </c>
      <c r="I157" s="35" t="s">
        <v>512</v>
      </c>
      <c r="J157" s="267"/>
      <c r="K157" s="70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B158" s="33" t="s">
        <v>45</v>
      </c>
      <c r="C158" s="34" t="s">
        <v>46</v>
      </c>
      <c r="D158" s="201">
        <v>37723.0</v>
      </c>
      <c r="E158" s="35" t="s">
        <v>145</v>
      </c>
      <c r="F158" s="35" t="s">
        <v>124</v>
      </c>
      <c r="G158" s="33">
        <v>3.0</v>
      </c>
      <c r="H158" s="36" t="s">
        <v>669</v>
      </c>
      <c r="I158" s="136" t="s">
        <v>302</v>
      </c>
      <c r="J158" s="105" t="s">
        <v>816</v>
      </c>
      <c r="K158" s="61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B159" s="33" t="s">
        <v>61</v>
      </c>
      <c r="C159" s="34" t="s">
        <v>62</v>
      </c>
      <c r="D159" s="201">
        <v>37715.0</v>
      </c>
      <c r="E159" s="35" t="s">
        <v>145</v>
      </c>
      <c r="F159" s="35" t="s">
        <v>817</v>
      </c>
      <c r="G159" s="33">
        <v>3.0</v>
      </c>
      <c r="H159" s="36" t="s">
        <v>205</v>
      </c>
      <c r="I159" s="37" t="s">
        <v>212</v>
      </c>
      <c r="J159" s="105" t="s">
        <v>818</v>
      </c>
      <c r="K159" s="21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B160" s="33" t="s">
        <v>822</v>
      </c>
      <c r="C160" s="34" t="s">
        <v>823</v>
      </c>
      <c r="D160" s="201">
        <v>37717.0</v>
      </c>
      <c r="E160" s="35" t="s">
        <v>71</v>
      </c>
      <c r="F160" s="35" t="s">
        <v>44</v>
      </c>
      <c r="G160" s="33">
        <v>3.0</v>
      </c>
      <c r="H160" s="36" t="s">
        <v>19</v>
      </c>
      <c r="I160" s="37" t="s">
        <v>270</v>
      </c>
      <c r="J160" s="37" t="s">
        <v>824</v>
      </c>
      <c r="K160" s="21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B161" s="33" t="s">
        <v>66</v>
      </c>
      <c r="C161" s="34" t="s">
        <v>68</v>
      </c>
      <c r="D161" s="201">
        <v>37733.0</v>
      </c>
      <c r="E161" s="35" t="s">
        <v>24</v>
      </c>
      <c r="F161" s="35" t="s">
        <v>524</v>
      </c>
      <c r="G161" s="33">
        <v>1.5</v>
      </c>
      <c r="H161" s="36" t="s">
        <v>827</v>
      </c>
      <c r="I161" s="193" t="s">
        <v>75</v>
      </c>
      <c r="J161" s="269" t="s">
        <v>828</v>
      </c>
      <c r="K161" s="21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B162" s="35" t="s">
        <v>79</v>
      </c>
      <c r="C162" s="65" t="s">
        <v>80</v>
      </c>
      <c r="D162" s="201">
        <v>37719.0</v>
      </c>
      <c r="E162" s="35" t="s">
        <v>71</v>
      </c>
      <c r="F162" s="35" t="s">
        <v>48</v>
      </c>
      <c r="G162" s="33">
        <v>3.0</v>
      </c>
      <c r="H162" s="36" t="s">
        <v>19</v>
      </c>
      <c r="I162" s="37" t="s">
        <v>398</v>
      </c>
      <c r="J162" s="37" t="s">
        <v>830</v>
      </c>
      <c r="K162" s="21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B163" s="33" t="s">
        <v>94</v>
      </c>
      <c r="C163" s="34" t="s">
        <v>95</v>
      </c>
      <c r="D163" s="201">
        <v>37728.0</v>
      </c>
      <c r="E163" s="35" t="s">
        <v>15</v>
      </c>
      <c r="F163" s="35" t="s">
        <v>255</v>
      </c>
      <c r="G163" s="33">
        <v>3.0</v>
      </c>
      <c r="H163" s="36" t="s">
        <v>669</v>
      </c>
      <c r="I163" s="37" t="s">
        <v>101</v>
      </c>
      <c r="J163" s="105" t="s">
        <v>833</v>
      </c>
      <c r="K163" s="61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B164" s="33" t="s">
        <v>107</v>
      </c>
      <c r="C164" s="34" t="s">
        <v>108</v>
      </c>
      <c r="D164" s="201">
        <v>37713.0</v>
      </c>
      <c r="E164" s="35" t="s">
        <v>145</v>
      </c>
      <c r="F164" s="35" t="s">
        <v>835</v>
      </c>
      <c r="G164" s="33">
        <v>2.0</v>
      </c>
      <c r="H164" s="36" t="s">
        <v>111</v>
      </c>
      <c r="I164" s="37" t="s">
        <v>248</v>
      </c>
      <c r="J164" s="273" t="s">
        <v>837</v>
      </c>
      <c r="K164" s="21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B165" s="33" t="s">
        <v>119</v>
      </c>
      <c r="C165" s="34" t="s">
        <v>120</v>
      </c>
      <c r="D165" s="201">
        <v>37725.0</v>
      </c>
      <c r="E165" s="35" t="s">
        <v>15</v>
      </c>
      <c r="F165" s="35" t="s">
        <v>44</v>
      </c>
      <c r="G165" s="33">
        <v>3.0</v>
      </c>
      <c r="H165" s="36" t="s">
        <v>840</v>
      </c>
      <c r="I165" s="37" t="s">
        <v>126</v>
      </c>
      <c r="J165" s="87" t="s">
        <v>841</v>
      </c>
      <c r="K165" s="194" t="s">
        <v>842</v>
      </c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B166" s="33" t="s">
        <v>143</v>
      </c>
      <c r="C166" s="34" t="s">
        <v>144</v>
      </c>
      <c r="D166" s="201">
        <v>37721.0</v>
      </c>
      <c r="E166" s="35" t="s">
        <v>54</v>
      </c>
      <c r="F166" s="35" t="s">
        <v>847</v>
      </c>
      <c r="G166" s="33">
        <v>3.0</v>
      </c>
      <c r="H166" s="36" t="s">
        <v>227</v>
      </c>
      <c r="I166" s="37" t="s">
        <v>423</v>
      </c>
      <c r="J166" s="36" t="s">
        <v>849</v>
      </c>
      <c r="K166" s="21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B167" s="33" t="s">
        <v>157</v>
      </c>
      <c r="C167" s="34" t="s">
        <v>158</v>
      </c>
      <c r="D167" s="201">
        <v>37730.0</v>
      </c>
      <c r="E167" s="35" t="s">
        <v>853</v>
      </c>
      <c r="F167" s="35" t="s">
        <v>854</v>
      </c>
      <c r="G167" s="33">
        <v>3.0</v>
      </c>
      <c r="H167" s="36" t="s">
        <v>19</v>
      </c>
      <c r="I167" s="37" t="s">
        <v>334</v>
      </c>
      <c r="J167" s="163" t="s">
        <v>856</v>
      </c>
      <c r="K167" s="21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B168" s="86" t="s">
        <v>167</v>
      </c>
      <c r="C168" s="13"/>
      <c r="D168" s="13"/>
      <c r="E168" s="13"/>
      <c r="F168" s="18"/>
      <c r="G168" s="88">
        <f>SUM(G157:G167)</f>
        <v>30.5</v>
      </c>
      <c r="H168" s="90"/>
      <c r="I168" s="21"/>
      <c r="J168" s="90"/>
      <c r="K168" s="21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92"/>
      <c r="I169" s="5"/>
      <c r="J169" s="92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92"/>
      <c r="I170" s="5"/>
      <c r="J170" s="92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100" t="str">
        <f>B171</f>
        <v>FIL 201</v>
      </c>
      <c r="B171" s="151" t="s">
        <v>869</v>
      </c>
      <c r="C171" s="13"/>
      <c r="D171" s="13"/>
      <c r="E171" s="13"/>
      <c r="F171" s="13"/>
      <c r="G171" s="13"/>
      <c r="H171" s="13"/>
      <c r="I171" s="13"/>
      <c r="J171" s="13"/>
      <c r="K171" s="18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B172" s="24" t="s">
        <v>1</v>
      </c>
      <c r="C172" s="24" t="s">
        <v>2</v>
      </c>
      <c r="D172" s="24" t="s">
        <v>3</v>
      </c>
      <c r="E172" s="24" t="s">
        <v>4</v>
      </c>
      <c r="F172" s="24" t="s">
        <v>5</v>
      </c>
      <c r="G172" s="24" t="s">
        <v>6</v>
      </c>
      <c r="H172" s="228" t="s">
        <v>7</v>
      </c>
      <c r="I172" s="27" t="s">
        <v>8</v>
      </c>
      <c r="J172" s="29" t="s">
        <v>9</v>
      </c>
      <c r="K172" s="27" t="s">
        <v>10</v>
      </c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B173" s="277" t="s">
        <v>875</v>
      </c>
      <c r="C173" s="278" t="s">
        <v>473</v>
      </c>
      <c r="D173" s="66">
        <v>37894.0</v>
      </c>
      <c r="E173" s="35" t="s">
        <v>83</v>
      </c>
      <c r="F173" s="66" t="s">
        <v>44</v>
      </c>
      <c r="G173" s="33">
        <v>3.0</v>
      </c>
      <c r="H173" s="36" t="s">
        <v>477</v>
      </c>
      <c r="I173" s="35" t="s">
        <v>88</v>
      </c>
      <c r="J173" s="66" t="s">
        <v>876</v>
      </c>
      <c r="K173" s="70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B174" s="277" t="s">
        <v>489</v>
      </c>
      <c r="C174" s="278" t="s">
        <v>490</v>
      </c>
      <c r="D174" s="201">
        <v>37905.0</v>
      </c>
      <c r="E174" s="35" t="s">
        <v>71</v>
      </c>
      <c r="F174" s="35" t="s">
        <v>85</v>
      </c>
      <c r="G174" s="33">
        <v>3.0</v>
      </c>
      <c r="H174" s="36" t="s">
        <v>281</v>
      </c>
      <c r="I174" s="37" t="s">
        <v>675</v>
      </c>
      <c r="J174" s="39" t="s">
        <v>881</v>
      </c>
      <c r="K174" s="61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B175" s="277" t="s">
        <v>496</v>
      </c>
      <c r="C175" s="278" t="s">
        <v>497</v>
      </c>
      <c r="D175" s="201">
        <v>37896.0</v>
      </c>
      <c r="E175" s="35" t="s">
        <v>83</v>
      </c>
      <c r="F175" s="35" t="s">
        <v>884</v>
      </c>
      <c r="G175" s="33">
        <v>3.0</v>
      </c>
      <c r="H175" s="36" t="s">
        <v>574</v>
      </c>
      <c r="I175" s="176" t="s">
        <v>296</v>
      </c>
      <c r="J175" s="164" t="s">
        <v>885</v>
      </c>
      <c r="K175" s="21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B176" s="277" t="s">
        <v>886</v>
      </c>
      <c r="C176" s="278" t="s">
        <v>888</v>
      </c>
      <c r="D176" s="201">
        <v>37907.0</v>
      </c>
      <c r="E176" s="35" t="s">
        <v>71</v>
      </c>
      <c r="F176" s="35" t="s">
        <v>48</v>
      </c>
      <c r="G176" s="33">
        <v>3.0</v>
      </c>
      <c r="H176" s="36" t="s">
        <v>90</v>
      </c>
      <c r="I176" s="37" t="s">
        <v>270</v>
      </c>
      <c r="J176" s="37" t="s">
        <v>889</v>
      </c>
      <c r="K176" s="90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B177" s="277" t="s">
        <v>516</v>
      </c>
      <c r="C177" s="278" t="s">
        <v>891</v>
      </c>
      <c r="D177" s="201">
        <v>37911.0</v>
      </c>
      <c r="E177" s="35" t="s">
        <v>15</v>
      </c>
      <c r="F177" s="35" t="s">
        <v>44</v>
      </c>
      <c r="G177" s="33">
        <v>1.5</v>
      </c>
      <c r="H177" s="36" t="s">
        <v>895</v>
      </c>
      <c r="I177" s="281" t="s">
        <v>728</v>
      </c>
      <c r="J177" s="122" t="s">
        <v>896</v>
      </c>
      <c r="K177" s="119" t="s">
        <v>897</v>
      </c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B178" s="277" t="s">
        <v>898</v>
      </c>
      <c r="C178" s="278" t="s">
        <v>899</v>
      </c>
      <c r="D178" s="201">
        <v>37903.0</v>
      </c>
      <c r="E178" s="35" t="s">
        <v>145</v>
      </c>
      <c r="F178" s="35" t="s">
        <v>48</v>
      </c>
      <c r="G178" s="33">
        <v>3.0</v>
      </c>
      <c r="H178" s="36" t="s">
        <v>74</v>
      </c>
      <c r="I178" s="36" t="s">
        <v>65</v>
      </c>
      <c r="J178" s="56" t="s">
        <v>902</v>
      </c>
      <c r="K178" s="21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B179" s="277" t="s">
        <v>905</v>
      </c>
      <c r="C179" s="278" t="s">
        <v>907</v>
      </c>
      <c r="D179" s="201">
        <v>37900.0</v>
      </c>
      <c r="E179" s="35" t="s">
        <v>908</v>
      </c>
      <c r="F179" s="35" t="s">
        <v>909</v>
      </c>
      <c r="G179" s="33">
        <v>3.0</v>
      </c>
      <c r="H179" s="36" t="s">
        <v>74</v>
      </c>
      <c r="I179" s="37" t="s">
        <v>212</v>
      </c>
      <c r="J179" s="172" t="s">
        <v>910</v>
      </c>
      <c r="K179" s="61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B180" s="277" t="s">
        <v>914</v>
      </c>
      <c r="C180" s="278" t="s">
        <v>915</v>
      </c>
      <c r="D180" s="201">
        <v>37898.0</v>
      </c>
      <c r="E180" s="35" t="s">
        <v>145</v>
      </c>
      <c r="F180" s="35" t="s">
        <v>63</v>
      </c>
      <c r="G180" s="33">
        <v>2.0</v>
      </c>
      <c r="H180" s="36" t="s">
        <v>74</v>
      </c>
      <c r="I180" s="37" t="s">
        <v>220</v>
      </c>
      <c r="J180" s="37" t="s">
        <v>919</v>
      </c>
      <c r="K180" s="21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B181" s="277" t="s">
        <v>920</v>
      </c>
      <c r="C181" s="278" t="s">
        <v>921</v>
      </c>
      <c r="D181" s="201">
        <v>37915.0</v>
      </c>
      <c r="E181" s="35" t="s">
        <v>54</v>
      </c>
      <c r="F181" s="35" t="s">
        <v>44</v>
      </c>
      <c r="G181" s="33">
        <v>3.0</v>
      </c>
      <c r="H181" s="36" t="s">
        <v>827</v>
      </c>
      <c r="I181" s="37" t="s">
        <v>65</v>
      </c>
      <c r="J181" s="105" t="s">
        <v>923</v>
      </c>
      <c r="K181" s="90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B182" s="277" t="s">
        <v>924</v>
      </c>
      <c r="C182" s="278" t="s">
        <v>404</v>
      </c>
      <c r="D182" s="201">
        <v>37913.0</v>
      </c>
      <c r="E182" s="35" t="s">
        <v>54</v>
      </c>
      <c r="F182" s="35" t="s">
        <v>925</v>
      </c>
      <c r="G182" s="33">
        <v>3.0</v>
      </c>
      <c r="H182" s="36" t="s">
        <v>111</v>
      </c>
      <c r="I182" s="37" t="s">
        <v>926</v>
      </c>
      <c r="J182" s="37" t="s">
        <v>928</v>
      </c>
      <c r="K182" s="21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B183" s="277" t="s">
        <v>410</v>
      </c>
      <c r="C183" s="278" t="s">
        <v>929</v>
      </c>
      <c r="D183" s="201">
        <v>37909.0</v>
      </c>
      <c r="E183" s="35" t="s">
        <v>15</v>
      </c>
      <c r="F183" s="35" t="s">
        <v>930</v>
      </c>
      <c r="G183" s="33">
        <v>3.0</v>
      </c>
      <c r="H183" s="36" t="s">
        <v>206</v>
      </c>
      <c r="I183" s="36" t="s">
        <v>70</v>
      </c>
      <c r="J183" s="36" t="s">
        <v>931</v>
      </c>
      <c r="K183" s="194" t="s">
        <v>932</v>
      </c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B184" s="86" t="s">
        <v>167</v>
      </c>
      <c r="C184" s="13"/>
      <c r="D184" s="13"/>
      <c r="E184" s="13"/>
      <c r="F184" s="18"/>
      <c r="G184" s="88">
        <f>SUM(G173:G183)</f>
        <v>30.5</v>
      </c>
      <c r="H184" s="90"/>
      <c r="I184" s="21"/>
      <c r="J184" s="90"/>
      <c r="K184" s="21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92"/>
      <c r="I185" s="5"/>
      <c r="J185" s="92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92"/>
      <c r="I186" s="5"/>
      <c r="J186" s="92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100" t="str">
        <f>B187</f>
        <v>FIL 202</v>
      </c>
      <c r="B187" s="151" t="s">
        <v>938</v>
      </c>
      <c r="C187" s="13"/>
      <c r="D187" s="13"/>
      <c r="E187" s="13"/>
      <c r="F187" s="13"/>
      <c r="G187" s="13"/>
      <c r="H187" s="13"/>
      <c r="I187" s="13"/>
      <c r="J187" s="13"/>
      <c r="K187" s="18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B188" s="24" t="s">
        <v>1</v>
      </c>
      <c r="C188" s="24" t="s">
        <v>2</v>
      </c>
      <c r="D188" s="24" t="s">
        <v>3</v>
      </c>
      <c r="E188" s="24" t="s">
        <v>4</v>
      </c>
      <c r="F188" s="24" t="s">
        <v>5</v>
      </c>
      <c r="G188" s="24" t="s">
        <v>6</v>
      </c>
      <c r="H188" s="228" t="s">
        <v>7</v>
      </c>
      <c r="I188" s="27" t="s">
        <v>8</v>
      </c>
      <c r="J188" s="29" t="s">
        <v>9</v>
      </c>
      <c r="K188" s="27" t="s">
        <v>10</v>
      </c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B189" s="277" t="s">
        <v>875</v>
      </c>
      <c r="C189" s="278" t="s">
        <v>473</v>
      </c>
      <c r="D189" s="66">
        <v>38251.0</v>
      </c>
      <c r="E189" s="35" t="s">
        <v>145</v>
      </c>
      <c r="F189" s="66" t="s">
        <v>255</v>
      </c>
      <c r="G189" s="33">
        <v>3.0</v>
      </c>
      <c r="H189" s="36" t="s">
        <v>477</v>
      </c>
      <c r="I189" s="35" t="s">
        <v>88</v>
      </c>
      <c r="J189" s="66" t="s">
        <v>940</v>
      </c>
      <c r="K189" s="70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B190" s="277" t="s">
        <v>489</v>
      </c>
      <c r="C190" s="278" t="s">
        <v>490</v>
      </c>
      <c r="D190" s="33"/>
      <c r="E190" s="35" t="s">
        <v>800</v>
      </c>
      <c r="F190" s="35" t="s">
        <v>942</v>
      </c>
      <c r="G190" s="33">
        <v>3.0</v>
      </c>
      <c r="H190" s="36" t="s">
        <v>239</v>
      </c>
      <c r="I190" s="37" t="s">
        <v>943</v>
      </c>
      <c r="J190" s="105" t="s">
        <v>944</v>
      </c>
      <c r="K190" s="61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B191" s="277" t="s">
        <v>496</v>
      </c>
      <c r="C191" s="278" t="s">
        <v>497</v>
      </c>
      <c r="D191" s="33"/>
      <c r="E191" s="35" t="s">
        <v>54</v>
      </c>
      <c r="F191" s="35" t="s">
        <v>48</v>
      </c>
      <c r="G191" s="33">
        <v>3.0</v>
      </c>
      <c r="H191" s="36" t="s">
        <v>574</v>
      </c>
      <c r="I191" s="37" t="s">
        <v>804</v>
      </c>
      <c r="J191" s="37" t="s">
        <v>946</v>
      </c>
      <c r="K191" s="21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B192" s="277" t="s">
        <v>886</v>
      </c>
      <c r="C192" s="278" t="s">
        <v>888</v>
      </c>
      <c r="D192" s="33"/>
      <c r="E192" s="35" t="s">
        <v>83</v>
      </c>
      <c r="F192" s="35" t="s">
        <v>948</v>
      </c>
      <c r="G192" s="33">
        <v>3.0</v>
      </c>
      <c r="H192" s="36" t="s">
        <v>205</v>
      </c>
      <c r="I192" s="176" t="s">
        <v>949</v>
      </c>
      <c r="J192" s="286" t="s">
        <v>951</v>
      </c>
      <c r="K192" s="90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B193" s="277" t="s">
        <v>516</v>
      </c>
      <c r="C193" s="278" t="s">
        <v>891</v>
      </c>
      <c r="D193" s="33"/>
      <c r="E193" s="35" t="s">
        <v>145</v>
      </c>
      <c r="F193" s="35" t="s">
        <v>85</v>
      </c>
      <c r="G193" s="33">
        <v>1.5</v>
      </c>
      <c r="H193" s="36" t="s">
        <v>205</v>
      </c>
      <c r="I193" s="36" t="s">
        <v>235</v>
      </c>
      <c r="J193" s="287" t="s">
        <v>953</v>
      </c>
      <c r="K193" s="21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B194" s="277" t="s">
        <v>898</v>
      </c>
      <c r="C194" s="278" t="s">
        <v>899</v>
      </c>
      <c r="D194" s="33"/>
      <c r="E194" s="35" t="s">
        <v>217</v>
      </c>
      <c r="F194" s="35" t="s">
        <v>48</v>
      </c>
      <c r="G194" s="33">
        <v>3.0</v>
      </c>
      <c r="H194" s="36" t="s">
        <v>38</v>
      </c>
      <c r="I194" s="36" t="s">
        <v>65</v>
      </c>
      <c r="J194" s="36" t="s">
        <v>957</v>
      </c>
      <c r="K194" s="21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30.0" customHeight="1">
      <c r="B195" s="277" t="s">
        <v>905</v>
      </c>
      <c r="C195" s="278" t="s">
        <v>907</v>
      </c>
      <c r="D195" s="33"/>
      <c r="E195" s="35" t="s">
        <v>958</v>
      </c>
      <c r="F195" s="289" t="s">
        <v>959</v>
      </c>
      <c r="G195" s="33">
        <v>3.0</v>
      </c>
      <c r="H195" s="36" t="s">
        <v>960</v>
      </c>
      <c r="I195" s="37" t="s">
        <v>212</v>
      </c>
      <c r="J195" s="105" t="s">
        <v>961</v>
      </c>
      <c r="K195" s="61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B196" s="277" t="s">
        <v>914</v>
      </c>
      <c r="C196" s="278" t="s">
        <v>915</v>
      </c>
      <c r="D196" s="33"/>
      <c r="E196" s="35" t="s">
        <v>958</v>
      </c>
      <c r="F196" s="35" t="s">
        <v>314</v>
      </c>
      <c r="G196" s="35">
        <v>3.0</v>
      </c>
      <c r="H196" s="36" t="s">
        <v>205</v>
      </c>
      <c r="I196" s="37" t="s">
        <v>963</v>
      </c>
      <c r="J196" s="37" t="s">
        <v>964</v>
      </c>
      <c r="K196" s="21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B197" s="277" t="s">
        <v>920</v>
      </c>
      <c r="C197" s="278" t="s">
        <v>921</v>
      </c>
      <c r="D197" s="33"/>
      <c r="E197" s="35" t="s">
        <v>71</v>
      </c>
      <c r="F197" s="35" t="s">
        <v>948</v>
      </c>
      <c r="G197" s="33">
        <v>3.0</v>
      </c>
      <c r="H197" s="36" t="s">
        <v>239</v>
      </c>
      <c r="I197" s="37" t="s">
        <v>967</v>
      </c>
      <c r="J197" s="290" t="s">
        <v>968</v>
      </c>
      <c r="K197" s="90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B198" s="277" t="s">
        <v>924</v>
      </c>
      <c r="C198" s="278" t="s">
        <v>404</v>
      </c>
      <c r="D198" s="33"/>
      <c r="E198" s="35" t="s">
        <v>54</v>
      </c>
      <c r="F198" s="35" t="s">
        <v>514</v>
      </c>
      <c r="G198" s="35">
        <v>2.0</v>
      </c>
      <c r="H198" s="36" t="s">
        <v>149</v>
      </c>
      <c r="I198" s="37" t="s">
        <v>228</v>
      </c>
      <c r="J198" s="37" t="s">
        <v>970</v>
      </c>
      <c r="K198" s="21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B199" s="277" t="s">
        <v>410</v>
      </c>
      <c r="C199" s="278" t="s">
        <v>929</v>
      </c>
      <c r="D199" s="33"/>
      <c r="E199" s="35" t="s">
        <v>83</v>
      </c>
      <c r="F199" s="35" t="s">
        <v>100</v>
      </c>
      <c r="G199" s="33">
        <v>3.0</v>
      </c>
      <c r="H199" s="36" t="s">
        <v>205</v>
      </c>
      <c r="I199" s="36" t="s">
        <v>70</v>
      </c>
      <c r="J199" s="36" t="s">
        <v>973</v>
      </c>
      <c r="K199" s="21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B200" s="86" t="s">
        <v>167</v>
      </c>
      <c r="C200" s="13"/>
      <c r="D200" s="13"/>
      <c r="E200" s="13"/>
      <c r="F200" s="18"/>
      <c r="G200" s="88">
        <f>SUM(G189:G199)</f>
        <v>30.5</v>
      </c>
      <c r="H200" s="90"/>
      <c r="I200" s="21"/>
      <c r="J200" s="90"/>
      <c r="K200" s="21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92"/>
      <c r="I201" s="5"/>
      <c r="J201" s="92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92"/>
      <c r="I202" s="5"/>
      <c r="J202" s="92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92"/>
      <c r="I203" s="5"/>
      <c r="J203" s="92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92"/>
      <c r="I204" s="5"/>
      <c r="J204" s="92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100" t="s">
        <v>978</v>
      </c>
      <c r="B205" s="11" t="s">
        <v>978</v>
      </c>
      <c r="C205" s="13"/>
      <c r="D205" s="13"/>
      <c r="E205" s="13"/>
      <c r="F205" s="13"/>
      <c r="G205" s="13"/>
      <c r="H205" s="13"/>
      <c r="I205" s="13"/>
      <c r="J205" s="13"/>
      <c r="K205" s="18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B206" s="24" t="s">
        <v>1</v>
      </c>
      <c r="C206" s="24" t="s">
        <v>2</v>
      </c>
      <c r="D206" s="24" t="s">
        <v>3</v>
      </c>
      <c r="E206" s="24" t="s">
        <v>4</v>
      </c>
      <c r="F206" s="24" t="s">
        <v>5</v>
      </c>
      <c r="G206" s="24" t="s">
        <v>6</v>
      </c>
      <c r="H206" s="228" t="s">
        <v>7</v>
      </c>
      <c r="I206" s="27" t="s">
        <v>8</v>
      </c>
      <c r="J206" s="29" t="s">
        <v>9</v>
      </c>
      <c r="K206" s="27" t="s">
        <v>10</v>
      </c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B207" s="33" t="s">
        <v>792</v>
      </c>
      <c r="C207" s="34" t="s">
        <v>793</v>
      </c>
      <c r="D207" s="201">
        <v>38095.0</v>
      </c>
      <c r="E207" s="35" t="s">
        <v>54</v>
      </c>
      <c r="F207" s="35" t="s">
        <v>980</v>
      </c>
      <c r="G207" s="33">
        <v>1.5</v>
      </c>
      <c r="H207" s="36" t="s">
        <v>219</v>
      </c>
      <c r="I207" s="37" t="s">
        <v>75</v>
      </c>
      <c r="J207" s="37" t="s">
        <v>983</v>
      </c>
      <c r="K207" s="21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B208" s="33" t="s">
        <v>798</v>
      </c>
      <c r="C208" s="34" t="s">
        <v>799</v>
      </c>
      <c r="D208" s="201">
        <v>38093.0</v>
      </c>
      <c r="E208" s="35" t="s">
        <v>800</v>
      </c>
      <c r="F208" s="35" t="s">
        <v>985</v>
      </c>
      <c r="G208" s="33">
        <v>6.0</v>
      </c>
      <c r="H208" s="36" t="s">
        <v>219</v>
      </c>
      <c r="I208" s="36" t="s">
        <v>943</v>
      </c>
      <c r="J208" s="36" t="s">
        <v>986</v>
      </c>
      <c r="K208" s="21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B209" s="86" t="s">
        <v>167</v>
      </c>
      <c r="C209" s="13"/>
      <c r="D209" s="13"/>
      <c r="E209" s="13"/>
      <c r="F209" s="18"/>
      <c r="G209" s="88">
        <f>SUM(G207:G208)</f>
        <v>7.5</v>
      </c>
      <c r="H209" s="92"/>
      <c r="I209" s="5"/>
      <c r="J209" s="92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92"/>
      <c r="I210" s="5"/>
      <c r="J210" s="92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92"/>
      <c r="I211" s="5"/>
      <c r="J211" s="92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100" t="str">
        <f>B212</f>
        <v>ENG 101</v>
      </c>
      <c r="B212" s="11" t="s">
        <v>989</v>
      </c>
      <c r="C212" s="13"/>
      <c r="D212" s="13"/>
      <c r="E212" s="13"/>
      <c r="F212" s="13"/>
      <c r="G212" s="13"/>
      <c r="H212" s="13"/>
      <c r="I212" s="13"/>
      <c r="J212" s="13"/>
      <c r="K212" s="18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B213" s="24" t="s">
        <v>1</v>
      </c>
      <c r="C213" s="24" t="s">
        <v>2</v>
      </c>
      <c r="D213" s="24" t="s">
        <v>3</v>
      </c>
      <c r="E213" s="24" t="s">
        <v>4</v>
      </c>
      <c r="F213" s="24" t="s">
        <v>5</v>
      </c>
      <c r="G213" s="24" t="s">
        <v>6</v>
      </c>
      <c r="H213" s="228" t="s">
        <v>7</v>
      </c>
      <c r="I213" s="27" t="s">
        <v>8</v>
      </c>
      <c r="J213" s="29" t="s">
        <v>9</v>
      </c>
      <c r="K213" s="27" t="s">
        <v>10</v>
      </c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B214" s="33" t="s">
        <v>33</v>
      </c>
      <c r="C214" s="34" t="s">
        <v>34</v>
      </c>
      <c r="D214" s="35">
        <v>37675.0</v>
      </c>
      <c r="E214" s="35" t="s">
        <v>71</v>
      </c>
      <c r="F214" s="35" t="s">
        <v>990</v>
      </c>
      <c r="G214" s="33">
        <v>3.0</v>
      </c>
      <c r="H214" s="36" t="s">
        <v>258</v>
      </c>
      <c r="I214" s="35" t="s">
        <v>991</v>
      </c>
      <c r="J214" s="105" t="s">
        <v>992</v>
      </c>
      <c r="K214" s="70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B215" s="33" t="s">
        <v>45</v>
      </c>
      <c r="C215" s="34" t="s">
        <v>46</v>
      </c>
      <c r="D215" s="35">
        <v>37685.0</v>
      </c>
      <c r="E215" s="35" t="s">
        <v>24</v>
      </c>
      <c r="F215" s="35" t="s">
        <v>124</v>
      </c>
      <c r="G215" s="33">
        <v>3.0</v>
      </c>
      <c r="H215" s="36" t="s">
        <v>376</v>
      </c>
      <c r="I215" s="37" t="s">
        <v>53</v>
      </c>
      <c r="J215" s="105" t="s">
        <v>994</v>
      </c>
      <c r="K215" s="61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B216" s="33" t="s">
        <v>61</v>
      </c>
      <c r="C216" s="34" t="s">
        <v>62</v>
      </c>
      <c r="D216" s="35">
        <v>37671.0</v>
      </c>
      <c r="E216" s="35" t="s">
        <v>83</v>
      </c>
      <c r="F216" s="35" t="s">
        <v>995</v>
      </c>
      <c r="G216" s="33">
        <v>3.0</v>
      </c>
      <c r="H216" s="36" t="s">
        <v>376</v>
      </c>
      <c r="I216" s="37" t="s">
        <v>212</v>
      </c>
      <c r="J216" s="298" t="s">
        <v>997</v>
      </c>
      <c r="K216" s="21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B217" s="33" t="s">
        <v>66</v>
      </c>
      <c r="C217" s="34" t="s">
        <v>68</v>
      </c>
      <c r="D217" s="35">
        <v>37669.0</v>
      </c>
      <c r="E217" s="35" t="s">
        <v>83</v>
      </c>
      <c r="F217" s="35" t="s">
        <v>100</v>
      </c>
      <c r="G217" s="33">
        <v>1.5</v>
      </c>
      <c r="H217" s="36" t="s">
        <v>376</v>
      </c>
      <c r="I217" s="37" t="s">
        <v>553</v>
      </c>
      <c r="J217" s="37" t="s">
        <v>998</v>
      </c>
      <c r="K217" s="21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B218" s="33" t="s">
        <v>1000</v>
      </c>
      <c r="C218" s="34" t="s">
        <v>1001</v>
      </c>
      <c r="D218" s="35">
        <v>37679.0</v>
      </c>
      <c r="E218" s="35" t="s">
        <v>217</v>
      </c>
      <c r="F218" s="35" t="s">
        <v>63</v>
      </c>
      <c r="G218" s="33">
        <v>3.0</v>
      </c>
      <c r="H218" s="36" t="s">
        <v>64</v>
      </c>
      <c r="I218" s="37" t="s">
        <v>126</v>
      </c>
      <c r="J218" s="87" t="s">
        <v>1002</v>
      </c>
      <c r="K218" s="21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21.75" customHeight="1">
      <c r="B219" s="299" t="s">
        <v>79</v>
      </c>
      <c r="C219" s="300" t="s">
        <v>80</v>
      </c>
      <c r="D219" s="66">
        <v>37683.0</v>
      </c>
      <c r="E219" s="35" t="s">
        <v>24</v>
      </c>
      <c r="F219" s="66" t="s">
        <v>261</v>
      </c>
      <c r="G219" s="33">
        <v>3.0</v>
      </c>
      <c r="H219" s="36" t="s">
        <v>239</v>
      </c>
      <c r="I219" s="35" t="s">
        <v>88</v>
      </c>
      <c r="J219" s="301" t="s">
        <v>1003</v>
      </c>
      <c r="K219" s="21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B220" s="33" t="s">
        <v>94</v>
      </c>
      <c r="C220" s="34" t="s">
        <v>95</v>
      </c>
      <c r="D220" s="35">
        <v>37689.0</v>
      </c>
      <c r="E220" s="35" t="s">
        <v>54</v>
      </c>
      <c r="F220" s="35" t="s">
        <v>85</v>
      </c>
      <c r="G220" s="33">
        <v>3.0</v>
      </c>
      <c r="H220" s="36" t="s">
        <v>227</v>
      </c>
      <c r="I220" s="109"/>
      <c r="J220" s="109"/>
      <c r="K220" s="21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B221" s="33" t="s">
        <v>107</v>
      </c>
      <c r="C221" s="34" t="s">
        <v>108</v>
      </c>
      <c r="D221" s="35">
        <v>37687.0</v>
      </c>
      <c r="E221" s="35" t="s">
        <v>54</v>
      </c>
      <c r="F221" s="35" t="s">
        <v>1005</v>
      </c>
      <c r="G221" s="33">
        <v>2.0</v>
      </c>
      <c r="H221" s="36" t="s">
        <v>1006</v>
      </c>
      <c r="I221" s="36"/>
      <c r="J221" s="248"/>
      <c r="K221" s="61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B222" s="33" t="s">
        <v>119</v>
      </c>
      <c r="C222" s="34" t="s">
        <v>120</v>
      </c>
      <c r="D222" s="35">
        <v>37677.0</v>
      </c>
      <c r="E222" s="35" t="s">
        <v>71</v>
      </c>
      <c r="F222" s="35" t="s">
        <v>48</v>
      </c>
      <c r="G222" s="33">
        <v>3.0</v>
      </c>
      <c r="H222" s="36" t="s">
        <v>258</v>
      </c>
      <c r="I222" s="37" t="s">
        <v>126</v>
      </c>
      <c r="J222" s="87" t="s">
        <v>1009</v>
      </c>
      <c r="K222" s="21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B223" s="33" t="s">
        <v>143</v>
      </c>
      <c r="C223" s="34" t="s">
        <v>144</v>
      </c>
      <c r="D223" s="35">
        <v>37681.0</v>
      </c>
      <c r="E223" s="35" t="s">
        <v>217</v>
      </c>
      <c r="F223" s="35" t="s">
        <v>44</v>
      </c>
      <c r="G223" s="33">
        <v>3.0</v>
      </c>
      <c r="H223" s="36" t="s">
        <v>674</v>
      </c>
      <c r="I223" s="37" t="s">
        <v>207</v>
      </c>
      <c r="J223" s="302"/>
      <c r="K223" s="21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B224" s="33" t="s">
        <v>157</v>
      </c>
      <c r="C224" s="34" t="s">
        <v>158</v>
      </c>
      <c r="D224" s="35">
        <v>37673.0</v>
      </c>
      <c r="E224" s="35" t="s">
        <v>71</v>
      </c>
      <c r="F224" s="35" t="s">
        <v>1011</v>
      </c>
      <c r="G224" s="33">
        <v>3.0</v>
      </c>
      <c r="H224" s="36" t="s">
        <v>376</v>
      </c>
      <c r="I224" s="37" t="s">
        <v>334</v>
      </c>
      <c r="J224" s="142" t="s">
        <v>1012</v>
      </c>
      <c r="K224" s="21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B225" s="86" t="s">
        <v>167</v>
      </c>
      <c r="C225" s="13"/>
      <c r="D225" s="13"/>
      <c r="E225" s="13"/>
      <c r="F225" s="18"/>
      <c r="G225" s="88">
        <f>SUM(G214:G224)</f>
        <v>30.5</v>
      </c>
      <c r="H225" s="90"/>
      <c r="I225" s="21"/>
      <c r="J225" s="90"/>
      <c r="K225" s="21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92"/>
      <c r="I226" s="5"/>
      <c r="J226" s="92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92"/>
      <c r="I227" s="5"/>
      <c r="J227" s="92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92"/>
      <c r="I228" s="5"/>
      <c r="J228" s="92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92"/>
      <c r="I229" s="5"/>
      <c r="J229" s="92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92"/>
      <c r="I230" s="5"/>
      <c r="J230" s="92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100" t="s">
        <v>1016</v>
      </c>
      <c r="B231" s="11" t="s">
        <v>1016</v>
      </c>
      <c r="C231" s="13"/>
      <c r="D231" s="13"/>
      <c r="E231" s="13"/>
      <c r="F231" s="13"/>
      <c r="G231" s="13"/>
      <c r="H231" s="13"/>
      <c r="I231" s="13"/>
      <c r="J231" s="13"/>
      <c r="K231" s="18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B232" s="24" t="s">
        <v>1</v>
      </c>
      <c r="C232" s="24" t="s">
        <v>2</v>
      </c>
      <c r="D232" s="24" t="s">
        <v>3</v>
      </c>
      <c r="E232" s="24" t="s">
        <v>4</v>
      </c>
      <c r="F232" s="24" t="s">
        <v>5</v>
      </c>
      <c r="G232" s="24" t="s">
        <v>6</v>
      </c>
      <c r="H232" s="29" t="s">
        <v>7</v>
      </c>
      <c r="I232" s="27" t="s">
        <v>8</v>
      </c>
      <c r="J232" s="29" t="s">
        <v>9</v>
      </c>
      <c r="K232" s="27" t="s">
        <v>10</v>
      </c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B233" s="304" t="s">
        <v>472</v>
      </c>
      <c r="C233" s="305" t="s">
        <v>473</v>
      </c>
      <c r="D233" s="201">
        <v>37858.0</v>
      </c>
      <c r="E233" s="256" t="s">
        <v>71</v>
      </c>
      <c r="F233" s="256" t="s">
        <v>63</v>
      </c>
      <c r="G233" s="33">
        <v>3.0</v>
      </c>
      <c r="H233" s="36" t="s">
        <v>477</v>
      </c>
      <c r="I233" s="16" t="s">
        <v>378</v>
      </c>
      <c r="J233" s="62" t="s">
        <v>1020</v>
      </c>
      <c r="K233" s="33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B234" s="304" t="s">
        <v>489</v>
      </c>
      <c r="C234" s="305" t="s">
        <v>490</v>
      </c>
      <c r="D234" s="201">
        <v>37854.0</v>
      </c>
      <c r="E234" s="256" t="s">
        <v>31</v>
      </c>
      <c r="F234" s="256" t="s">
        <v>48</v>
      </c>
      <c r="G234" s="33">
        <v>3.0</v>
      </c>
      <c r="H234" s="192" t="s">
        <v>206</v>
      </c>
      <c r="I234" s="176" t="s">
        <v>499</v>
      </c>
      <c r="J234" s="37" t="s">
        <v>1023</v>
      </c>
      <c r="K234" s="61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B235" s="304" t="s">
        <v>496</v>
      </c>
      <c r="C235" s="305" t="s">
        <v>497</v>
      </c>
      <c r="D235" s="201">
        <v>37870.0</v>
      </c>
      <c r="E235" s="256" t="s">
        <v>54</v>
      </c>
      <c r="F235" s="256" t="s">
        <v>48</v>
      </c>
      <c r="G235" s="33">
        <v>3.0</v>
      </c>
      <c r="H235" s="36" t="s">
        <v>219</v>
      </c>
      <c r="I235" s="36" t="s">
        <v>512</v>
      </c>
      <c r="J235" s="36" t="s">
        <v>1024</v>
      </c>
      <c r="K235" s="21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B236" s="304" t="s">
        <v>1025</v>
      </c>
      <c r="C236" s="305" t="s">
        <v>1026</v>
      </c>
      <c r="D236" s="201">
        <v>37862.0</v>
      </c>
      <c r="E236" s="256" t="s">
        <v>24</v>
      </c>
      <c r="F236" s="256" t="s">
        <v>261</v>
      </c>
      <c r="G236" s="35">
        <v>3.0</v>
      </c>
      <c r="H236" s="36" t="s">
        <v>242</v>
      </c>
      <c r="I236" s="37" t="s">
        <v>378</v>
      </c>
      <c r="J236" s="37" t="s">
        <v>1028</v>
      </c>
      <c r="K236" s="21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B237" s="304" t="s">
        <v>516</v>
      </c>
      <c r="C237" s="305" t="s">
        <v>891</v>
      </c>
      <c r="D237" s="66">
        <v>37864.0</v>
      </c>
      <c r="E237" s="256" t="s">
        <v>24</v>
      </c>
      <c r="F237" s="66" t="s">
        <v>124</v>
      </c>
      <c r="G237" s="33">
        <v>3.0</v>
      </c>
      <c r="H237" s="36" t="s">
        <v>242</v>
      </c>
      <c r="I237" s="193" t="s">
        <v>88</v>
      </c>
      <c r="J237" s="66" t="s">
        <v>1029</v>
      </c>
      <c r="K237" s="21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B238" s="304" t="s">
        <v>1030</v>
      </c>
      <c r="C238" s="305" t="s">
        <v>1031</v>
      </c>
      <c r="D238" s="201">
        <v>37852.0</v>
      </c>
      <c r="E238" s="256" t="s">
        <v>31</v>
      </c>
      <c r="F238" s="256" t="s">
        <v>85</v>
      </c>
      <c r="G238" s="35">
        <v>3.0</v>
      </c>
      <c r="H238" s="36" t="s">
        <v>215</v>
      </c>
      <c r="I238" s="37" t="s">
        <v>126</v>
      </c>
      <c r="J238" s="87" t="s">
        <v>1032</v>
      </c>
      <c r="K238" s="21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B239" s="304" t="s">
        <v>1034</v>
      </c>
      <c r="C239" s="305" t="s">
        <v>1035</v>
      </c>
      <c r="D239" s="201">
        <v>37866.0</v>
      </c>
      <c r="E239" s="256" t="s">
        <v>24</v>
      </c>
      <c r="F239" s="256" t="s">
        <v>44</v>
      </c>
      <c r="G239" s="33">
        <v>3.0</v>
      </c>
      <c r="H239" s="36" t="s">
        <v>242</v>
      </c>
      <c r="I239" s="37" t="s">
        <v>126</v>
      </c>
      <c r="J239" s="87" t="s">
        <v>1036</v>
      </c>
      <c r="K239" s="61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B240" s="304" t="s">
        <v>1037</v>
      </c>
      <c r="C240" s="305" t="s">
        <v>1038</v>
      </c>
      <c r="D240" s="201">
        <v>37860.0</v>
      </c>
      <c r="E240" s="256" t="s">
        <v>71</v>
      </c>
      <c r="F240" s="256" t="s">
        <v>255</v>
      </c>
      <c r="G240" s="33">
        <v>3.0</v>
      </c>
      <c r="H240" s="36" t="s">
        <v>215</v>
      </c>
      <c r="I240" s="37" t="s">
        <v>1039</v>
      </c>
      <c r="J240" s="237" t="s">
        <v>1040</v>
      </c>
      <c r="K240" s="21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B241" s="304" t="s">
        <v>924</v>
      </c>
      <c r="C241" s="305" t="s">
        <v>404</v>
      </c>
      <c r="D241" s="201">
        <v>37868.0</v>
      </c>
      <c r="E241" s="256" t="s">
        <v>54</v>
      </c>
      <c r="F241" s="256" t="s">
        <v>247</v>
      </c>
      <c r="G241" s="35">
        <v>2.0</v>
      </c>
      <c r="H241" s="192" t="s">
        <v>312</v>
      </c>
      <c r="I241" s="37" t="s">
        <v>1043</v>
      </c>
      <c r="J241" s="308" t="s">
        <v>1044</v>
      </c>
      <c r="K241" s="309" t="s">
        <v>1045</v>
      </c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B242" s="304" t="s">
        <v>410</v>
      </c>
      <c r="C242" s="305" t="s">
        <v>929</v>
      </c>
      <c r="D242" s="201">
        <v>37856.0</v>
      </c>
      <c r="E242" s="256" t="s">
        <v>71</v>
      </c>
      <c r="F242" s="256" t="s">
        <v>552</v>
      </c>
      <c r="G242" s="35">
        <v>1.5</v>
      </c>
      <c r="H242" s="36" t="s">
        <v>215</v>
      </c>
      <c r="I242" s="36" t="s">
        <v>75</v>
      </c>
      <c r="J242" s="310" t="s">
        <v>1047</v>
      </c>
      <c r="K242" s="21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B243" s="86" t="s">
        <v>167</v>
      </c>
      <c r="C243" s="13"/>
      <c r="D243" s="13"/>
      <c r="E243" s="13"/>
      <c r="F243" s="18"/>
      <c r="G243" s="88">
        <f>SUM(G233:G242)</f>
        <v>27.5</v>
      </c>
      <c r="H243" s="90"/>
      <c r="I243" s="21"/>
      <c r="J243" s="90"/>
      <c r="K243" s="21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92"/>
      <c r="I244" s="5"/>
      <c r="J244" s="92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92"/>
      <c r="I245" s="5"/>
      <c r="J245" s="92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100" t="str">
        <f>B246</f>
        <v>ENG 301</v>
      </c>
      <c r="B246" s="151" t="s">
        <v>1048</v>
      </c>
      <c r="C246" s="13"/>
      <c r="D246" s="13"/>
      <c r="E246" s="13"/>
      <c r="F246" s="13"/>
      <c r="G246" s="13"/>
      <c r="H246" s="13"/>
      <c r="I246" s="13"/>
      <c r="J246" s="13"/>
      <c r="K246" s="18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B247" s="24" t="s">
        <v>1</v>
      </c>
      <c r="C247" s="24" t="s">
        <v>2</v>
      </c>
      <c r="D247" s="24" t="s">
        <v>3</v>
      </c>
      <c r="E247" s="24" t="s">
        <v>4</v>
      </c>
      <c r="F247" s="24" t="s">
        <v>5</v>
      </c>
      <c r="G247" s="24" t="s">
        <v>6</v>
      </c>
      <c r="H247" s="29" t="s">
        <v>7</v>
      </c>
      <c r="I247" s="27" t="s">
        <v>8</v>
      </c>
      <c r="J247" s="29" t="s">
        <v>9</v>
      </c>
      <c r="K247" s="27" t="s">
        <v>10</v>
      </c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B248" s="311" t="s">
        <v>595</v>
      </c>
      <c r="C248" s="305" t="s">
        <v>596</v>
      </c>
      <c r="D248" s="66">
        <v>38048.0</v>
      </c>
      <c r="E248" s="35" t="s">
        <v>83</v>
      </c>
      <c r="F248" s="66" t="s">
        <v>124</v>
      </c>
      <c r="G248" s="33">
        <v>3.0</v>
      </c>
      <c r="H248" s="36" t="s">
        <v>49</v>
      </c>
      <c r="I248" s="37" t="s">
        <v>88</v>
      </c>
      <c r="J248" s="37" t="s">
        <v>1052</v>
      </c>
      <c r="K248" s="21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B249" s="304" t="s">
        <v>1053</v>
      </c>
      <c r="C249" s="305" t="s">
        <v>1054</v>
      </c>
      <c r="D249" s="201">
        <v>38062.0</v>
      </c>
      <c r="E249" s="35" t="s">
        <v>24</v>
      </c>
      <c r="F249" s="35" t="s">
        <v>106</v>
      </c>
      <c r="G249" s="33">
        <v>3.0</v>
      </c>
      <c r="H249" s="36" t="s">
        <v>49</v>
      </c>
      <c r="I249" s="37" t="s">
        <v>334</v>
      </c>
      <c r="J249" s="163" t="s">
        <v>1055</v>
      </c>
      <c r="K249" s="21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B250" s="304" t="s">
        <v>1056</v>
      </c>
      <c r="C250" s="305" t="s">
        <v>1057</v>
      </c>
      <c r="D250" s="201">
        <v>38058.0</v>
      </c>
      <c r="E250" s="35" t="s">
        <v>24</v>
      </c>
      <c r="F250" s="35" t="s">
        <v>1011</v>
      </c>
      <c r="G250" s="33">
        <v>3.0</v>
      </c>
      <c r="H250" s="36" t="s">
        <v>49</v>
      </c>
      <c r="I250" s="37" t="s">
        <v>334</v>
      </c>
      <c r="J250" s="163" t="s">
        <v>1058</v>
      </c>
      <c r="K250" s="21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B251" s="304" t="s">
        <v>1060</v>
      </c>
      <c r="C251" s="305" t="s">
        <v>1061</v>
      </c>
      <c r="D251" s="201">
        <v>38056.0</v>
      </c>
      <c r="E251" s="35" t="s">
        <v>15</v>
      </c>
      <c r="F251" s="35" t="s">
        <v>44</v>
      </c>
      <c r="G251" s="35">
        <v>3.0</v>
      </c>
      <c r="H251" s="36" t="s">
        <v>574</v>
      </c>
      <c r="I251" s="37" t="s">
        <v>1039</v>
      </c>
      <c r="J251" s="37" t="s">
        <v>1063</v>
      </c>
      <c r="K251" s="21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B252" s="304" t="s">
        <v>1065</v>
      </c>
      <c r="C252" s="305" t="s">
        <v>1066</v>
      </c>
      <c r="D252" s="201">
        <v>38054.0</v>
      </c>
      <c r="E252" s="35" t="s">
        <v>217</v>
      </c>
      <c r="F252" s="35" t="s">
        <v>124</v>
      </c>
      <c r="G252" s="33">
        <v>3.0</v>
      </c>
      <c r="H252" s="36" t="s">
        <v>574</v>
      </c>
      <c r="I252" s="37" t="s">
        <v>378</v>
      </c>
      <c r="J252" s="37" t="s">
        <v>1068</v>
      </c>
      <c r="K252" s="21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B253" s="311" t="s">
        <v>1069</v>
      </c>
      <c r="C253" s="305" t="s">
        <v>1070</v>
      </c>
      <c r="D253" s="201">
        <v>38050.0</v>
      </c>
      <c r="E253" s="35" t="s">
        <v>83</v>
      </c>
      <c r="F253" s="35" t="s">
        <v>44</v>
      </c>
      <c r="G253" s="33">
        <v>2.0</v>
      </c>
      <c r="H253" s="36" t="s">
        <v>49</v>
      </c>
      <c r="I253" s="37" t="s">
        <v>1039</v>
      </c>
      <c r="J253" s="81" t="s">
        <v>1072</v>
      </c>
      <c r="K253" s="21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B254" s="304" t="s">
        <v>1073</v>
      </c>
      <c r="C254" s="305" t="s">
        <v>1074</v>
      </c>
      <c r="D254" s="201">
        <v>38052.0</v>
      </c>
      <c r="E254" s="35" t="s">
        <v>217</v>
      </c>
      <c r="F254" s="35" t="s">
        <v>261</v>
      </c>
      <c r="G254" s="33">
        <v>3.0</v>
      </c>
      <c r="H254" s="36" t="s">
        <v>574</v>
      </c>
      <c r="I254" s="35" t="s">
        <v>378</v>
      </c>
      <c r="J254" s="35" t="s">
        <v>1075</v>
      </c>
      <c r="K254" s="71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B255" s="304" t="s">
        <v>134</v>
      </c>
      <c r="C255" s="305" t="s">
        <v>1077</v>
      </c>
      <c r="D255" s="201">
        <v>38064.0</v>
      </c>
      <c r="E255" s="35" t="s">
        <v>83</v>
      </c>
      <c r="F255" s="35" t="s">
        <v>48</v>
      </c>
      <c r="G255" s="33">
        <v>3.0</v>
      </c>
      <c r="H255" s="36" t="s">
        <v>49</v>
      </c>
      <c r="I255" s="37" t="s">
        <v>1078</v>
      </c>
      <c r="J255" s="37" t="s">
        <v>1079</v>
      </c>
      <c r="K255" s="21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B256" s="304" t="s">
        <v>615</v>
      </c>
      <c r="C256" s="305" t="s">
        <v>1080</v>
      </c>
      <c r="D256" s="201">
        <v>38060.0</v>
      </c>
      <c r="E256" s="35" t="s">
        <v>24</v>
      </c>
      <c r="F256" s="35" t="s">
        <v>100</v>
      </c>
      <c r="G256" s="35">
        <v>1.5</v>
      </c>
      <c r="H256" s="192" t="s">
        <v>49</v>
      </c>
      <c r="I256" s="37" t="s">
        <v>553</v>
      </c>
      <c r="J256" s="308" t="s">
        <v>1081</v>
      </c>
      <c r="K256" s="21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B257" s="86" t="s">
        <v>167</v>
      </c>
      <c r="C257" s="13"/>
      <c r="D257" s="13"/>
      <c r="E257" s="13"/>
      <c r="F257" s="18"/>
      <c r="G257" s="88">
        <f>SUM(G248:G256)</f>
        <v>24.5</v>
      </c>
      <c r="H257" s="90"/>
      <c r="I257" s="21"/>
      <c r="J257" s="90"/>
      <c r="K257" s="21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92"/>
      <c r="I258" s="5"/>
      <c r="J258" s="92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92"/>
      <c r="I259" s="5"/>
      <c r="J259" s="92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317"/>
      <c r="B260" s="317"/>
      <c r="C260" s="317"/>
      <c r="D260" s="317"/>
      <c r="E260" s="317"/>
      <c r="F260" s="317"/>
      <c r="G260" s="317"/>
      <c r="H260" s="319"/>
      <c r="I260" s="317"/>
      <c r="J260" s="319"/>
      <c r="K260" s="317"/>
      <c r="L260" s="317"/>
      <c r="M260" s="317"/>
      <c r="N260" s="317"/>
      <c r="O260" s="317"/>
      <c r="P260" s="317"/>
      <c r="Q260" s="317"/>
      <c r="R260" s="317"/>
      <c r="S260" s="317"/>
      <c r="T260" s="317"/>
      <c r="U260" s="317"/>
      <c r="V260" s="317"/>
      <c r="W260" s="317"/>
      <c r="X260" s="317"/>
      <c r="Y260" s="317"/>
      <c r="Z260" s="317"/>
    </row>
    <row r="261">
      <c r="A261" s="5"/>
      <c r="B261" s="5"/>
      <c r="C261" s="5"/>
      <c r="D261" s="5"/>
      <c r="E261" s="5"/>
      <c r="F261" s="5"/>
      <c r="G261" s="5"/>
      <c r="H261" s="92"/>
      <c r="I261" s="5"/>
      <c r="J261" s="92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92"/>
      <c r="I262" s="5"/>
      <c r="J262" s="92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227" t="s">
        <v>1086</v>
      </c>
      <c r="B263" s="151" t="s">
        <v>1086</v>
      </c>
      <c r="C263" s="13"/>
      <c r="D263" s="13"/>
      <c r="E263" s="13"/>
      <c r="F263" s="13"/>
      <c r="G263" s="13"/>
      <c r="H263" s="13"/>
      <c r="I263" s="13"/>
      <c r="J263" s="13"/>
      <c r="K263" s="18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B264" s="24" t="s">
        <v>1</v>
      </c>
      <c r="C264" s="24" t="s">
        <v>2</v>
      </c>
      <c r="D264" s="24" t="s">
        <v>3</v>
      </c>
      <c r="E264" s="24" t="s">
        <v>4</v>
      </c>
      <c r="F264" s="24" t="s">
        <v>5</v>
      </c>
      <c r="G264" s="24" t="s">
        <v>6</v>
      </c>
      <c r="H264" s="29" t="s">
        <v>7</v>
      </c>
      <c r="I264" s="27" t="s">
        <v>8</v>
      </c>
      <c r="J264" s="29" t="s">
        <v>9</v>
      </c>
      <c r="K264" s="27" t="s">
        <v>10</v>
      </c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B265" s="311" t="s">
        <v>595</v>
      </c>
      <c r="C265" s="305" t="s">
        <v>596</v>
      </c>
      <c r="D265" s="66">
        <v>38066.0</v>
      </c>
      <c r="E265" s="35" t="s">
        <v>294</v>
      </c>
      <c r="F265" s="66" t="s">
        <v>160</v>
      </c>
      <c r="G265" s="33">
        <v>3.0</v>
      </c>
      <c r="H265" s="36" t="s">
        <v>219</v>
      </c>
      <c r="I265" s="37" t="s">
        <v>88</v>
      </c>
      <c r="J265" s="66" t="s">
        <v>1088</v>
      </c>
      <c r="K265" s="21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B266" s="304" t="s">
        <v>1053</v>
      </c>
      <c r="C266" s="305" t="s">
        <v>1054</v>
      </c>
      <c r="D266" s="322">
        <v>38074.0</v>
      </c>
      <c r="E266" s="35" t="s">
        <v>71</v>
      </c>
      <c r="F266" s="35" t="s">
        <v>282</v>
      </c>
      <c r="G266" s="33">
        <v>3.0</v>
      </c>
      <c r="H266" s="36" t="s">
        <v>219</v>
      </c>
      <c r="I266" s="37" t="s">
        <v>334</v>
      </c>
      <c r="J266" s="163" t="s">
        <v>1092</v>
      </c>
      <c r="K266" s="119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B267" s="304" t="s">
        <v>1056</v>
      </c>
      <c r="C267" s="305" t="s">
        <v>1057</v>
      </c>
      <c r="D267" s="322">
        <v>38068.0</v>
      </c>
      <c r="E267" s="35" t="s">
        <v>31</v>
      </c>
      <c r="F267" s="35" t="s">
        <v>282</v>
      </c>
      <c r="G267" s="33">
        <v>3.0</v>
      </c>
      <c r="H267" s="36" t="s">
        <v>219</v>
      </c>
      <c r="I267" s="37" t="s">
        <v>334</v>
      </c>
      <c r="J267" s="163" t="s">
        <v>1095</v>
      </c>
      <c r="K267" s="61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B268" s="304" t="s">
        <v>1060</v>
      </c>
      <c r="C268" s="305" t="s">
        <v>1061</v>
      </c>
      <c r="D268" s="322">
        <v>38082.0</v>
      </c>
      <c r="E268" s="35" t="s">
        <v>24</v>
      </c>
      <c r="F268" s="35" t="s">
        <v>44</v>
      </c>
      <c r="G268" s="35">
        <v>3.0</v>
      </c>
      <c r="H268" s="36" t="s">
        <v>219</v>
      </c>
      <c r="I268" s="37" t="s">
        <v>1039</v>
      </c>
      <c r="J268" s="37" t="s">
        <v>1099</v>
      </c>
      <c r="K268" s="21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B269" s="304" t="s">
        <v>1065</v>
      </c>
      <c r="C269" s="305" t="s">
        <v>1066</v>
      </c>
      <c r="D269" s="322">
        <v>38080.0</v>
      </c>
      <c r="E269" s="35" t="s">
        <v>24</v>
      </c>
      <c r="F269" s="35" t="s">
        <v>124</v>
      </c>
      <c r="G269" s="33">
        <v>3.0</v>
      </c>
      <c r="H269" s="36" t="s">
        <v>219</v>
      </c>
      <c r="I269" s="36" t="s">
        <v>378</v>
      </c>
      <c r="J269" s="36" t="s">
        <v>1102</v>
      </c>
      <c r="K269" s="21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B270" s="311" t="s">
        <v>1069</v>
      </c>
      <c r="C270" s="305" t="s">
        <v>1070</v>
      </c>
      <c r="D270" s="322">
        <v>38070.0</v>
      </c>
      <c r="E270" s="35" t="s">
        <v>31</v>
      </c>
      <c r="F270" s="35" t="s">
        <v>255</v>
      </c>
      <c r="G270" s="33">
        <v>3.0</v>
      </c>
      <c r="H270" s="36" t="s">
        <v>219</v>
      </c>
      <c r="I270" s="37" t="s">
        <v>1039</v>
      </c>
      <c r="J270" s="37" t="s">
        <v>1105</v>
      </c>
      <c r="K270" s="21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B271" s="304" t="s">
        <v>1073</v>
      </c>
      <c r="C271" s="305" t="s">
        <v>1074</v>
      </c>
      <c r="D271" s="322">
        <v>38072.0</v>
      </c>
      <c r="E271" s="35" t="s">
        <v>71</v>
      </c>
      <c r="F271" s="35" t="s">
        <v>160</v>
      </c>
      <c r="G271" s="33">
        <v>3.0</v>
      </c>
      <c r="H271" s="36" t="s">
        <v>219</v>
      </c>
      <c r="I271" s="37" t="s">
        <v>378</v>
      </c>
      <c r="J271" s="37" t="s">
        <v>1108</v>
      </c>
      <c r="K271" s="21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B272" s="304" t="s">
        <v>134</v>
      </c>
      <c r="C272" s="305" t="s">
        <v>1077</v>
      </c>
      <c r="D272" s="322">
        <v>38076.0</v>
      </c>
      <c r="E272" s="35" t="s">
        <v>71</v>
      </c>
      <c r="F272" s="35" t="s">
        <v>255</v>
      </c>
      <c r="G272" s="33">
        <v>3.0</v>
      </c>
      <c r="H272" s="36" t="s">
        <v>49</v>
      </c>
      <c r="I272" s="37" t="s">
        <v>1110</v>
      </c>
      <c r="J272" s="37" t="s">
        <v>1112</v>
      </c>
      <c r="K272" s="21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B273" s="304" t="s">
        <v>615</v>
      </c>
      <c r="C273" s="305" t="s">
        <v>1080</v>
      </c>
      <c r="D273" s="322">
        <v>38078.0</v>
      </c>
      <c r="E273" s="35" t="s">
        <v>24</v>
      </c>
      <c r="F273" s="35" t="s">
        <v>552</v>
      </c>
      <c r="G273" s="35">
        <v>1.5</v>
      </c>
      <c r="H273" s="192" t="s">
        <v>219</v>
      </c>
      <c r="I273" s="37" t="s">
        <v>70</v>
      </c>
      <c r="J273" s="105" t="s">
        <v>1113</v>
      </c>
      <c r="K273" s="61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B274" s="86" t="s">
        <v>167</v>
      </c>
      <c r="C274" s="13"/>
      <c r="D274" s="13"/>
      <c r="E274" s="13"/>
      <c r="F274" s="18"/>
      <c r="G274" s="88">
        <f>SUM(G265:G273)</f>
        <v>25.5</v>
      </c>
      <c r="H274" s="90"/>
      <c r="I274" s="21"/>
      <c r="J274" s="90"/>
      <c r="K274" s="21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92"/>
      <c r="I275" s="5"/>
      <c r="J275" s="92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92"/>
      <c r="I276" s="5"/>
      <c r="J276" s="92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100" t="s">
        <v>1116</v>
      </c>
      <c r="B277" s="11" t="s">
        <v>1116</v>
      </c>
      <c r="C277" s="13"/>
      <c r="D277" s="13"/>
      <c r="E277" s="13"/>
      <c r="F277" s="13"/>
      <c r="G277" s="13"/>
      <c r="H277" s="13"/>
      <c r="I277" s="13"/>
      <c r="J277" s="13"/>
      <c r="K277" s="18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B278" s="24" t="s">
        <v>1</v>
      </c>
      <c r="C278" s="24" t="s">
        <v>2</v>
      </c>
      <c r="D278" s="24" t="s">
        <v>3</v>
      </c>
      <c r="E278" s="24" t="s">
        <v>4</v>
      </c>
      <c r="F278" s="24" t="s">
        <v>5</v>
      </c>
      <c r="G278" s="24" t="s">
        <v>6</v>
      </c>
      <c r="H278" s="102" t="s">
        <v>7</v>
      </c>
      <c r="I278" s="27" t="s">
        <v>8</v>
      </c>
      <c r="J278" s="29" t="s">
        <v>9</v>
      </c>
      <c r="K278" s="27" t="s">
        <v>10</v>
      </c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B279" s="35" t="s">
        <v>1119</v>
      </c>
      <c r="C279" s="34" t="s">
        <v>793</v>
      </c>
      <c r="D279" s="201">
        <v>38086.0</v>
      </c>
      <c r="E279" s="35" t="s">
        <v>54</v>
      </c>
      <c r="F279" s="35" t="s">
        <v>413</v>
      </c>
      <c r="G279" s="33">
        <v>1.5</v>
      </c>
      <c r="H279" s="36" t="s">
        <v>376</v>
      </c>
      <c r="I279" s="36" t="s">
        <v>70</v>
      </c>
      <c r="J279" s="37" t="s">
        <v>1121</v>
      </c>
      <c r="K279" s="21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B280" s="33" t="s">
        <v>798</v>
      </c>
      <c r="C280" s="34" t="s">
        <v>799</v>
      </c>
      <c r="D280" s="201">
        <v>38084.0</v>
      </c>
      <c r="E280" s="35" t="s">
        <v>1123</v>
      </c>
      <c r="F280" s="35" t="s">
        <v>1124</v>
      </c>
      <c r="G280" s="33">
        <v>6.0</v>
      </c>
      <c r="H280" s="212" t="s">
        <v>376</v>
      </c>
      <c r="I280" s="327" t="s">
        <v>804</v>
      </c>
      <c r="J280" s="16" t="s">
        <v>1127</v>
      </c>
      <c r="K280" s="21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B281" s="86" t="s">
        <v>167</v>
      </c>
      <c r="C281" s="13"/>
      <c r="D281" s="13"/>
      <c r="E281" s="13"/>
      <c r="F281" s="18"/>
      <c r="G281" s="88">
        <f>SUM(G279:G280)</f>
        <v>7.5</v>
      </c>
      <c r="H281" s="90"/>
      <c r="I281" s="21"/>
      <c r="J281" s="90"/>
      <c r="K281" s="21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317"/>
      <c r="B282" s="317"/>
      <c r="C282" s="317"/>
      <c r="D282" s="317"/>
      <c r="E282" s="317"/>
      <c r="F282" s="317"/>
      <c r="G282" s="317"/>
      <c r="H282" s="319"/>
      <c r="I282" s="317"/>
      <c r="J282" s="319"/>
      <c r="K282" s="317"/>
      <c r="L282" s="317"/>
      <c r="M282" s="317"/>
      <c r="N282" s="317"/>
      <c r="O282" s="317"/>
      <c r="P282" s="317"/>
      <c r="Q282" s="317"/>
      <c r="R282" s="317"/>
      <c r="S282" s="317"/>
      <c r="T282" s="317"/>
      <c r="U282" s="317"/>
      <c r="V282" s="317"/>
      <c r="W282" s="317"/>
      <c r="X282" s="317"/>
      <c r="Y282" s="317"/>
      <c r="Z282" s="317"/>
    </row>
    <row r="283">
      <c r="A283" s="317"/>
      <c r="B283" s="317"/>
      <c r="C283" s="317"/>
      <c r="D283" s="317"/>
      <c r="E283" s="317"/>
      <c r="F283" s="317"/>
      <c r="G283" s="317"/>
      <c r="H283" s="319"/>
      <c r="I283" s="317"/>
      <c r="J283" s="319"/>
      <c r="K283" s="317"/>
      <c r="L283" s="317"/>
      <c r="M283" s="317"/>
      <c r="N283" s="317"/>
      <c r="O283" s="317"/>
      <c r="P283" s="317"/>
      <c r="Q283" s="317"/>
      <c r="R283" s="317"/>
      <c r="S283" s="317"/>
      <c r="T283" s="317"/>
      <c r="U283" s="317"/>
      <c r="V283" s="317"/>
      <c r="W283" s="317"/>
      <c r="X283" s="317"/>
      <c r="Y283" s="317"/>
      <c r="Z283" s="317"/>
    </row>
    <row r="284">
      <c r="A284" s="100" t="str">
        <f>B284</f>
        <v>SOCSCI 101</v>
      </c>
      <c r="B284" s="11" t="s">
        <v>1132</v>
      </c>
      <c r="C284" s="13"/>
      <c r="D284" s="13"/>
      <c r="E284" s="13"/>
      <c r="F284" s="13"/>
      <c r="G284" s="13"/>
      <c r="H284" s="13"/>
      <c r="I284" s="13"/>
      <c r="J284" s="13"/>
      <c r="K284" s="18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B285" s="24" t="s">
        <v>1</v>
      </c>
      <c r="C285" s="24" t="s">
        <v>2</v>
      </c>
      <c r="D285" s="24" t="s">
        <v>3</v>
      </c>
      <c r="E285" s="24" t="s">
        <v>4</v>
      </c>
      <c r="F285" s="24" t="s">
        <v>5</v>
      </c>
      <c r="G285" s="24" t="s">
        <v>6</v>
      </c>
      <c r="H285" s="228" t="s">
        <v>7</v>
      </c>
      <c r="I285" s="27" t="s">
        <v>8</v>
      </c>
      <c r="J285" s="29" t="s">
        <v>9</v>
      </c>
      <c r="K285" s="27" t="s">
        <v>10</v>
      </c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B286" s="311" t="s">
        <v>79</v>
      </c>
      <c r="C286" s="305" t="s">
        <v>80</v>
      </c>
      <c r="D286" s="201">
        <v>37695.0</v>
      </c>
      <c r="E286" s="35" t="s">
        <v>1140</v>
      </c>
      <c r="F286" s="35" t="s">
        <v>85</v>
      </c>
      <c r="G286" s="33">
        <v>3.0</v>
      </c>
      <c r="H286" s="36" t="s">
        <v>51</v>
      </c>
      <c r="I286" s="35" t="s">
        <v>235</v>
      </c>
      <c r="J286" s="69" t="s">
        <v>1141</v>
      </c>
      <c r="K286" s="33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B287" s="311" t="s">
        <v>45</v>
      </c>
      <c r="C287" s="305" t="s">
        <v>46</v>
      </c>
      <c r="D287" s="201">
        <v>37701.0</v>
      </c>
      <c r="E287" s="35" t="s">
        <v>31</v>
      </c>
      <c r="F287" s="35" t="s">
        <v>48</v>
      </c>
      <c r="G287" s="33">
        <v>3.0</v>
      </c>
      <c r="H287" s="36" t="s">
        <v>376</v>
      </c>
      <c r="I287" s="37" t="s">
        <v>1144</v>
      </c>
      <c r="J287" s="105" t="s">
        <v>1146</v>
      </c>
      <c r="K287" s="61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B288" s="311" t="s">
        <v>33</v>
      </c>
      <c r="C288" s="305" t="s">
        <v>34</v>
      </c>
      <c r="D288" s="201">
        <v>37705.0</v>
      </c>
      <c r="E288" s="35" t="s">
        <v>71</v>
      </c>
      <c r="F288" s="35" t="s">
        <v>48</v>
      </c>
      <c r="G288" s="33">
        <v>3.0</v>
      </c>
      <c r="H288" s="36" t="s">
        <v>51</v>
      </c>
      <c r="I288" s="119" t="s">
        <v>512</v>
      </c>
      <c r="J288" s="37" t="s">
        <v>1149</v>
      </c>
      <c r="K288" s="21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B289" s="311" t="s">
        <v>119</v>
      </c>
      <c r="C289" s="333" t="s">
        <v>120</v>
      </c>
      <c r="D289" s="201">
        <v>37703.0</v>
      </c>
      <c r="E289" s="35" t="s">
        <v>71</v>
      </c>
      <c r="F289" s="35" t="s">
        <v>44</v>
      </c>
      <c r="G289" s="33">
        <v>3.0</v>
      </c>
      <c r="H289" s="36" t="s">
        <v>51</v>
      </c>
      <c r="I289" s="37" t="s">
        <v>126</v>
      </c>
      <c r="J289" s="76" t="s">
        <v>1152</v>
      </c>
      <c r="K289" s="21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B290" s="311" t="s">
        <v>143</v>
      </c>
      <c r="C290" s="305" t="s">
        <v>862</v>
      </c>
      <c r="D290" s="201">
        <v>37691.0</v>
      </c>
      <c r="E290" s="35" t="s">
        <v>83</v>
      </c>
      <c r="F290" s="35" t="s">
        <v>48</v>
      </c>
      <c r="G290" s="35">
        <v>3.0</v>
      </c>
      <c r="H290" s="36" t="s">
        <v>99</v>
      </c>
      <c r="I290" s="35" t="s">
        <v>270</v>
      </c>
      <c r="J290" s="35" t="s">
        <v>1154</v>
      </c>
      <c r="K290" s="21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B291" s="311" t="s">
        <v>157</v>
      </c>
      <c r="C291" s="333" t="s">
        <v>158</v>
      </c>
      <c r="D291" s="201">
        <v>37711.0</v>
      </c>
      <c r="E291" s="35" t="s">
        <v>54</v>
      </c>
      <c r="F291" s="35" t="s">
        <v>1011</v>
      </c>
      <c r="G291" s="33">
        <v>3.0</v>
      </c>
      <c r="H291" s="36" t="s">
        <v>51</v>
      </c>
      <c r="I291" s="35" t="s">
        <v>334</v>
      </c>
      <c r="J291" s="142" t="s">
        <v>1158</v>
      </c>
      <c r="K291" s="21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B292" s="311" t="s">
        <v>61</v>
      </c>
      <c r="C292" s="305" t="s">
        <v>62</v>
      </c>
      <c r="D292" s="201">
        <v>37707.0</v>
      </c>
      <c r="E292" s="35" t="s">
        <v>24</v>
      </c>
      <c r="F292" s="35" t="s">
        <v>817</v>
      </c>
      <c r="G292" s="33">
        <v>3.0</v>
      </c>
      <c r="H292" s="36" t="s">
        <v>74</v>
      </c>
      <c r="I292" s="37" t="s">
        <v>212</v>
      </c>
      <c r="J292" s="51" t="s">
        <v>1161</v>
      </c>
      <c r="K292" s="21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B293" s="311" t="s">
        <v>1163</v>
      </c>
      <c r="C293" s="305" t="s">
        <v>1164</v>
      </c>
      <c r="D293" s="201">
        <v>37699.0</v>
      </c>
      <c r="E293" s="35" t="s">
        <v>31</v>
      </c>
      <c r="F293" s="35" t="s">
        <v>44</v>
      </c>
      <c r="G293" s="35">
        <v>3.0</v>
      </c>
      <c r="H293" s="36" t="s">
        <v>376</v>
      </c>
      <c r="I293" s="37" t="s">
        <v>296</v>
      </c>
      <c r="J293" s="250" t="s">
        <v>1165</v>
      </c>
      <c r="K293" s="61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B294" s="311" t="s">
        <v>94</v>
      </c>
      <c r="C294" s="305" t="s">
        <v>95</v>
      </c>
      <c r="D294" s="201">
        <v>37693.0</v>
      </c>
      <c r="E294" s="35" t="s">
        <v>83</v>
      </c>
      <c r="F294" s="35" t="s">
        <v>85</v>
      </c>
      <c r="G294" s="33">
        <v>3.0</v>
      </c>
      <c r="H294" s="36" t="s">
        <v>51</v>
      </c>
      <c r="I294" s="37" t="s">
        <v>110</v>
      </c>
      <c r="J294" s="335" t="s">
        <v>1167</v>
      </c>
      <c r="K294" s="21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B295" s="311" t="s">
        <v>107</v>
      </c>
      <c r="C295" s="305" t="s">
        <v>1168</v>
      </c>
      <c r="D295" s="201">
        <v>37709.0</v>
      </c>
      <c r="E295" s="35" t="s">
        <v>54</v>
      </c>
      <c r="F295" s="35" t="s">
        <v>1169</v>
      </c>
      <c r="G295" s="35">
        <v>2.0</v>
      </c>
      <c r="H295" s="36" t="s">
        <v>1171</v>
      </c>
      <c r="I295" s="37" t="s">
        <v>1172</v>
      </c>
      <c r="J295" s="105" t="s">
        <v>1173</v>
      </c>
      <c r="K295" s="119" t="s">
        <v>1174</v>
      </c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B296" s="311" t="s">
        <v>66</v>
      </c>
      <c r="C296" s="305" t="s">
        <v>1175</v>
      </c>
      <c r="D296" s="201">
        <v>37697.0</v>
      </c>
      <c r="E296" s="35" t="s">
        <v>31</v>
      </c>
      <c r="F296" s="35" t="s">
        <v>100</v>
      </c>
      <c r="G296" s="35">
        <v>1.5</v>
      </c>
      <c r="H296" s="36" t="s">
        <v>227</v>
      </c>
      <c r="I296" s="37" t="s">
        <v>316</v>
      </c>
      <c r="J296" s="139" t="s">
        <v>1178</v>
      </c>
      <c r="K296" s="21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B297" s="86" t="s">
        <v>167</v>
      </c>
      <c r="C297" s="13"/>
      <c r="D297" s="13"/>
      <c r="E297" s="13"/>
      <c r="F297" s="18"/>
      <c r="G297" s="88">
        <f>SUM(G286:G296)</f>
        <v>30.5</v>
      </c>
      <c r="H297" s="90"/>
      <c r="I297" s="21"/>
      <c r="J297" s="248"/>
      <c r="K297" s="21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317"/>
      <c r="B298" s="317"/>
      <c r="C298" s="317"/>
      <c r="D298" s="317"/>
      <c r="E298" s="317"/>
      <c r="F298" s="317"/>
      <c r="G298" s="317"/>
      <c r="H298" s="319"/>
      <c r="I298" s="317"/>
      <c r="J298" s="319"/>
      <c r="K298" s="317"/>
      <c r="L298" s="317"/>
      <c r="M298" s="317"/>
      <c r="N298" s="317"/>
      <c r="O298" s="317"/>
      <c r="P298" s="317"/>
      <c r="Q298" s="317"/>
      <c r="R298" s="317"/>
      <c r="S298" s="317"/>
      <c r="T298" s="317"/>
      <c r="U298" s="317"/>
      <c r="V298" s="317"/>
      <c r="W298" s="317"/>
      <c r="X298" s="317"/>
      <c r="Y298" s="317"/>
      <c r="Z298" s="317"/>
    </row>
    <row r="299">
      <c r="A299" s="317"/>
      <c r="B299" s="317"/>
      <c r="C299" s="317"/>
      <c r="D299" s="317"/>
      <c r="E299" s="317"/>
      <c r="F299" s="317"/>
      <c r="G299" s="317"/>
      <c r="H299" s="319"/>
      <c r="I299" s="317"/>
      <c r="J299" s="319"/>
      <c r="K299" s="317"/>
      <c r="L299" s="317"/>
      <c r="M299" s="317"/>
      <c r="N299" s="317"/>
      <c r="O299" s="317"/>
      <c r="P299" s="317"/>
      <c r="Q299" s="317"/>
      <c r="R299" s="317"/>
      <c r="S299" s="317"/>
      <c r="T299" s="317"/>
      <c r="U299" s="317"/>
      <c r="V299" s="317"/>
      <c r="W299" s="317"/>
      <c r="X299" s="317"/>
      <c r="Y299" s="317"/>
      <c r="Z299" s="317"/>
    </row>
    <row r="300">
      <c r="A300" s="317"/>
      <c r="B300" s="317"/>
      <c r="C300" s="317"/>
      <c r="D300" s="317"/>
      <c r="E300" s="317"/>
      <c r="F300" s="317"/>
      <c r="G300" s="317"/>
      <c r="H300" s="319"/>
      <c r="I300" s="317"/>
      <c r="J300" s="319"/>
      <c r="K300" s="317"/>
      <c r="L300" s="317"/>
      <c r="M300" s="317"/>
      <c r="N300" s="317"/>
      <c r="O300" s="317"/>
      <c r="P300" s="317"/>
      <c r="Q300" s="317"/>
      <c r="R300" s="317"/>
      <c r="S300" s="317"/>
      <c r="T300" s="317"/>
      <c r="U300" s="317"/>
      <c r="V300" s="317"/>
      <c r="W300" s="317"/>
      <c r="X300" s="317"/>
      <c r="Y300" s="317"/>
      <c r="Z300" s="317"/>
    </row>
    <row r="301">
      <c r="A301" s="317"/>
      <c r="B301" s="317"/>
      <c r="C301" s="317"/>
      <c r="D301" s="317"/>
      <c r="E301" s="317"/>
      <c r="F301" s="317"/>
      <c r="G301" s="317"/>
      <c r="H301" s="319"/>
      <c r="I301" s="317"/>
      <c r="J301" s="319"/>
      <c r="K301" s="317"/>
      <c r="L301" s="317"/>
      <c r="M301" s="317"/>
      <c r="N301" s="317"/>
      <c r="O301" s="317"/>
      <c r="P301" s="317"/>
      <c r="Q301" s="317"/>
      <c r="R301" s="317"/>
      <c r="S301" s="317"/>
      <c r="T301" s="317"/>
      <c r="U301" s="317"/>
      <c r="V301" s="317"/>
      <c r="W301" s="317"/>
      <c r="X301" s="317"/>
      <c r="Y301" s="317"/>
      <c r="Z301" s="317"/>
    </row>
    <row r="302">
      <c r="A302" s="5"/>
      <c r="B302" s="5"/>
      <c r="C302" s="5"/>
      <c r="D302" s="5"/>
      <c r="E302" s="5"/>
      <c r="F302" s="5"/>
      <c r="G302" s="5"/>
      <c r="H302" s="92"/>
      <c r="I302" s="5"/>
      <c r="J302" s="92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100" t="str">
        <f>B303</f>
        <v>SOC 201</v>
      </c>
      <c r="B303" s="151" t="s">
        <v>1188</v>
      </c>
      <c r="C303" s="13"/>
      <c r="D303" s="13"/>
      <c r="E303" s="13"/>
      <c r="F303" s="13"/>
      <c r="G303" s="13"/>
      <c r="H303" s="13"/>
      <c r="I303" s="13"/>
      <c r="J303" s="13"/>
      <c r="K303" s="18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B304" s="340" t="s">
        <v>1</v>
      </c>
      <c r="C304" s="24" t="s">
        <v>2</v>
      </c>
      <c r="D304" s="24" t="s">
        <v>3</v>
      </c>
      <c r="E304" s="24" t="s">
        <v>4</v>
      </c>
      <c r="F304" s="24" t="s">
        <v>5</v>
      </c>
      <c r="G304" s="24" t="s">
        <v>6</v>
      </c>
      <c r="H304" s="102" t="s">
        <v>7</v>
      </c>
      <c r="I304" s="27" t="s">
        <v>8</v>
      </c>
      <c r="J304" s="29" t="s">
        <v>9</v>
      </c>
      <c r="K304" s="27" t="s">
        <v>10</v>
      </c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B305" s="333" t="s">
        <v>472</v>
      </c>
      <c r="C305" s="305" t="s">
        <v>473</v>
      </c>
      <c r="D305" s="201">
        <v>37872.0</v>
      </c>
      <c r="E305" s="35" t="s">
        <v>71</v>
      </c>
      <c r="F305" s="35" t="s">
        <v>160</v>
      </c>
      <c r="G305" s="33">
        <v>3.0</v>
      </c>
      <c r="H305" s="36" t="s">
        <v>477</v>
      </c>
      <c r="I305" s="35" t="s">
        <v>378</v>
      </c>
      <c r="J305" s="35" t="s">
        <v>1191</v>
      </c>
      <c r="K305" s="21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B306" s="333" t="s">
        <v>489</v>
      </c>
      <c r="C306" s="305" t="s">
        <v>490</v>
      </c>
      <c r="D306" s="201">
        <v>37892.0</v>
      </c>
      <c r="E306" s="35" t="s">
        <v>54</v>
      </c>
      <c r="F306" s="35" t="s">
        <v>607</v>
      </c>
      <c r="G306" s="33">
        <v>3.0</v>
      </c>
      <c r="H306" s="36" t="s">
        <v>669</v>
      </c>
      <c r="I306" s="176" t="s">
        <v>621</v>
      </c>
      <c r="J306" s="290" t="s">
        <v>1195</v>
      </c>
      <c r="K306" s="342" t="s">
        <v>1196</v>
      </c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B307" s="333" t="s">
        <v>1197</v>
      </c>
      <c r="C307" s="305" t="s">
        <v>1198</v>
      </c>
      <c r="D307" s="201">
        <v>37878.0</v>
      </c>
      <c r="E307" s="35" t="s">
        <v>217</v>
      </c>
      <c r="F307" s="35" t="s">
        <v>1199</v>
      </c>
      <c r="G307" s="33">
        <v>3.0</v>
      </c>
      <c r="H307" s="36" t="s">
        <v>206</v>
      </c>
      <c r="I307" s="35" t="s">
        <v>1144</v>
      </c>
      <c r="J307" s="35" t="s">
        <v>1200</v>
      </c>
      <c r="K307" s="21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B308" s="333" t="s">
        <v>496</v>
      </c>
      <c r="C308" s="305" t="s">
        <v>497</v>
      </c>
      <c r="D308" s="201">
        <v>37886.0</v>
      </c>
      <c r="E308" s="35" t="s">
        <v>54</v>
      </c>
      <c r="F308" s="35" t="s">
        <v>1201</v>
      </c>
      <c r="G308" s="33">
        <v>3.0</v>
      </c>
      <c r="H308" s="36" t="s">
        <v>669</v>
      </c>
      <c r="I308" s="176" t="s">
        <v>621</v>
      </c>
      <c r="J308" s="136" t="s">
        <v>1202</v>
      </c>
      <c r="K308" s="21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B309" s="333" t="s">
        <v>1203</v>
      </c>
      <c r="C309" s="305" t="s">
        <v>1204</v>
      </c>
      <c r="D309" s="201">
        <v>37876.0</v>
      </c>
      <c r="E309" s="35" t="s">
        <v>217</v>
      </c>
      <c r="F309" s="35" t="s">
        <v>85</v>
      </c>
      <c r="G309" s="33">
        <v>3.0</v>
      </c>
      <c r="H309" s="36" t="s">
        <v>206</v>
      </c>
      <c r="I309" s="37" t="s">
        <v>371</v>
      </c>
      <c r="J309" s="232" t="s">
        <v>1205</v>
      </c>
      <c r="K309" s="21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B310" s="333" t="s">
        <v>516</v>
      </c>
      <c r="C310" s="305" t="s">
        <v>891</v>
      </c>
      <c r="D310" s="66">
        <v>37882.0</v>
      </c>
      <c r="E310" s="35" t="s">
        <v>24</v>
      </c>
      <c r="F310" s="66" t="s">
        <v>85</v>
      </c>
      <c r="G310" s="33">
        <v>3.0</v>
      </c>
      <c r="H310" s="36" t="s">
        <v>215</v>
      </c>
      <c r="I310" s="37" t="s">
        <v>88</v>
      </c>
      <c r="J310" s="66" t="s">
        <v>1206</v>
      </c>
      <c r="K310" s="21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B311" s="344" t="s">
        <v>1207</v>
      </c>
      <c r="C311" s="305" t="s">
        <v>1208</v>
      </c>
      <c r="D311" s="201">
        <v>37884.0</v>
      </c>
      <c r="E311" s="35" t="s">
        <v>24</v>
      </c>
      <c r="F311" s="35" t="s">
        <v>255</v>
      </c>
      <c r="G311" s="35">
        <v>3.0</v>
      </c>
      <c r="H311" s="36" t="s">
        <v>206</v>
      </c>
      <c r="I311" s="35" t="s">
        <v>1211</v>
      </c>
      <c r="J311" s="105" t="s">
        <v>1212</v>
      </c>
      <c r="K311" s="109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B312" s="333" t="s">
        <v>1213</v>
      </c>
      <c r="C312" s="305" t="s">
        <v>1214</v>
      </c>
      <c r="D312" s="201">
        <v>37874.0</v>
      </c>
      <c r="E312" s="35" t="s">
        <v>71</v>
      </c>
      <c r="F312" s="35" t="s">
        <v>44</v>
      </c>
      <c r="G312" s="33">
        <v>3.0</v>
      </c>
      <c r="H312" s="36" t="s">
        <v>574</v>
      </c>
      <c r="I312" s="35" t="s">
        <v>1215</v>
      </c>
      <c r="J312" s="37" t="s">
        <v>1216</v>
      </c>
      <c r="K312" s="21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B313" s="333" t="s">
        <v>1217</v>
      </c>
      <c r="C313" s="305" t="s">
        <v>1218</v>
      </c>
      <c r="D313" s="201">
        <v>37884.0</v>
      </c>
      <c r="E313" s="35" t="s">
        <v>54</v>
      </c>
      <c r="F313" s="35" t="s">
        <v>124</v>
      </c>
      <c r="G313" s="33">
        <v>3.0</v>
      </c>
      <c r="H313" s="36" t="s">
        <v>669</v>
      </c>
      <c r="I313" s="37" t="s">
        <v>1219</v>
      </c>
      <c r="J313" s="136" t="s">
        <v>1220</v>
      </c>
      <c r="K313" s="21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B314" s="333" t="s">
        <v>924</v>
      </c>
      <c r="C314" s="305" t="s">
        <v>404</v>
      </c>
      <c r="D314" s="201">
        <v>37890.0</v>
      </c>
      <c r="E314" s="35" t="s">
        <v>54</v>
      </c>
      <c r="F314" s="35" t="s">
        <v>247</v>
      </c>
      <c r="G314" s="35">
        <v>2.0</v>
      </c>
      <c r="H314" s="192" t="s">
        <v>149</v>
      </c>
      <c r="I314" s="16" t="s">
        <v>926</v>
      </c>
      <c r="J314" s="36" t="s">
        <v>1221</v>
      </c>
      <c r="K314" s="61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B315" s="333" t="s">
        <v>410</v>
      </c>
      <c r="C315" s="305" t="s">
        <v>929</v>
      </c>
      <c r="D315" s="201">
        <v>37880.0</v>
      </c>
      <c r="E315" s="345" t="s">
        <v>24</v>
      </c>
      <c r="F315" s="36" t="s">
        <v>413</v>
      </c>
      <c r="G315" s="36">
        <v>1.5</v>
      </c>
      <c r="H315" s="36" t="s">
        <v>215</v>
      </c>
      <c r="I315" s="36" t="s">
        <v>75</v>
      </c>
      <c r="J315" s="74" t="s">
        <v>1223</v>
      </c>
      <c r="K315" s="71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346">
        <v>30.5</v>
      </c>
      <c r="H316" s="92"/>
      <c r="I316" s="5"/>
      <c r="J316" s="53"/>
      <c r="K316" s="347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92"/>
      <c r="I317" s="5"/>
      <c r="J317" s="92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92"/>
      <c r="I318" s="5"/>
      <c r="J318" s="92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348" t="s">
        <v>1227</v>
      </c>
      <c r="B319" s="11" t="s">
        <v>1227</v>
      </c>
      <c r="C319" s="13"/>
      <c r="D319" s="13"/>
      <c r="E319" s="13"/>
      <c r="F319" s="13"/>
      <c r="G319" s="13"/>
      <c r="H319" s="13"/>
      <c r="I319" s="13"/>
      <c r="J319" s="13"/>
      <c r="K319" s="18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B320" s="24" t="s">
        <v>1</v>
      </c>
      <c r="C320" s="24" t="s">
        <v>2</v>
      </c>
      <c r="D320" s="24" t="s">
        <v>3</v>
      </c>
      <c r="E320" s="24" t="s">
        <v>4</v>
      </c>
      <c r="F320" s="24" t="s">
        <v>5</v>
      </c>
      <c r="G320" s="24" t="s">
        <v>6</v>
      </c>
      <c r="H320" s="173"/>
      <c r="I320" s="27" t="s">
        <v>8</v>
      </c>
      <c r="J320" s="29" t="s">
        <v>9</v>
      </c>
      <c r="K320" s="27" t="s">
        <v>10</v>
      </c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B321" s="33" t="s">
        <v>792</v>
      </c>
      <c r="C321" s="34" t="s">
        <v>793</v>
      </c>
      <c r="D321" s="350">
        <v>38097.0</v>
      </c>
      <c r="E321" s="35" t="s">
        <v>15</v>
      </c>
      <c r="F321" s="35" t="s">
        <v>524</v>
      </c>
      <c r="G321" s="33">
        <v>1.5</v>
      </c>
      <c r="H321" s="16" t="s">
        <v>219</v>
      </c>
      <c r="I321" s="36" t="s">
        <v>75</v>
      </c>
      <c r="J321" s="74" t="s">
        <v>1232</v>
      </c>
      <c r="K321" s="21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B322" s="33" t="s">
        <v>798</v>
      </c>
      <c r="C322" s="34" t="s">
        <v>799</v>
      </c>
      <c r="D322" s="350">
        <v>38099.0</v>
      </c>
      <c r="E322" s="35" t="s">
        <v>1123</v>
      </c>
      <c r="F322" s="35" t="s">
        <v>1233</v>
      </c>
      <c r="G322" s="33">
        <v>6.0</v>
      </c>
      <c r="H322" s="36" t="s">
        <v>219</v>
      </c>
      <c r="I322" s="36" t="s">
        <v>943</v>
      </c>
      <c r="J322" s="242"/>
      <c r="K322" s="21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B323" s="86" t="s">
        <v>167</v>
      </c>
      <c r="C323" s="13"/>
      <c r="D323" s="13"/>
      <c r="E323" s="13"/>
      <c r="F323" s="18"/>
      <c r="G323" s="88">
        <f>SUM(G321:G322)</f>
        <v>7.5</v>
      </c>
      <c r="H323" s="90"/>
      <c r="I323" s="21"/>
      <c r="J323" s="90"/>
      <c r="K323" s="21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92"/>
      <c r="I324" s="5"/>
      <c r="J324" s="92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92"/>
      <c r="I325" s="5"/>
      <c r="J325" s="92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100" t="str">
        <f>B326</f>
        <v>VAL 101</v>
      </c>
      <c r="B326" s="11" t="s">
        <v>1237</v>
      </c>
      <c r="C326" s="13"/>
      <c r="D326" s="13"/>
      <c r="E326" s="13"/>
      <c r="F326" s="13"/>
      <c r="G326" s="13"/>
      <c r="H326" s="13"/>
      <c r="I326" s="13"/>
      <c r="J326" s="13"/>
      <c r="K326" s="18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B327" s="24" t="s">
        <v>1</v>
      </c>
      <c r="C327" s="24" t="s">
        <v>2</v>
      </c>
      <c r="D327" s="24" t="s">
        <v>3</v>
      </c>
      <c r="E327" s="24" t="s">
        <v>4</v>
      </c>
      <c r="F327" s="24" t="s">
        <v>5</v>
      </c>
      <c r="G327" s="24" t="s">
        <v>6</v>
      </c>
      <c r="H327" s="228" t="s">
        <v>7</v>
      </c>
      <c r="I327" s="27" t="s">
        <v>8</v>
      </c>
      <c r="J327" s="29" t="s">
        <v>9</v>
      </c>
      <c r="K327" s="27" t="s">
        <v>10</v>
      </c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B328" s="333" t="s">
        <v>79</v>
      </c>
      <c r="C328" s="305" t="s">
        <v>80</v>
      </c>
      <c r="D328" s="201">
        <v>37752.0</v>
      </c>
      <c r="E328" s="35" t="s">
        <v>24</v>
      </c>
      <c r="F328" s="35" t="s">
        <v>261</v>
      </c>
      <c r="G328" s="33">
        <v>3.0</v>
      </c>
      <c r="H328" s="36" t="s">
        <v>466</v>
      </c>
      <c r="I328" s="35" t="s">
        <v>235</v>
      </c>
      <c r="J328" s="69" t="s">
        <v>1241</v>
      </c>
      <c r="K328" s="33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B329" s="333" t="s">
        <v>45</v>
      </c>
      <c r="C329" s="305" t="s">
        <v>46</v>
      </c>
      <c r="D329" s="201">
        <v>37745.0</v>
      </c>
      <c r="E329" s="35" t="s">
        <v>83</v>
      </c>
      <c r="F329" s="35" t="s">
        <v>1243</v>
      </c>
      <c r="G329" s="33">
        <v>3.0</v>
      </c>
      <c r="H329" s="36" t="s">
        <v>74</v>
      </c>
      <c r="I329" s="37" t="s">
        <v>1246</v>
      </c>
      <c r="J329" s="105" t="s">
        <v>1248</v>
      </c>
      <c r="K329" s="168" t="s">
        <v>1249</v>
      </c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B330" s="333" t="s">
        <v>33</v>
      </c>
      <c r="C330" s="305" t="s">
        <v>34</v>
      </c>
      <c r="D330" s="201">
        <v>37743.0</v>
      </c>
      <c r="E330" s="35" t="s">
        <v>83</v>
      </c>
      <c r="F330" s="35" t="s">
        <v>44</v>
      </c>
      <c r="G330" s="33">
        <v>3.0</v>
      </c>
      <c r="H330" s="36" t="s">
        <v>38</v>
      </c>
      <c r="I330" s="37" t="s">
        <v>207</v>
      </c>
      <c r="J330" s="37" t="s">
        <v>1250</v>
      </c>
      <c r="K330" s="21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B331" s="333" t="s">
        <v>119</v>
      </c>
      <c r="C331" s="333" t="s">
        <v>120</v>
      </c>
      <c r="D331" s="201">
        <v>37747.0</v>
      </c>
      <c r="E331" s="35" t="s">
        <v>71</v>
      </c>
      <c r="F331" s="35" t="s">
        <v>63</v>
      </c>
      <c r="G331" s="33">
        <v>3.0</v>
      </c>
      <c r="H331" s="36" t="s">
        <v>1251</v>
      </c>
      <c r="I331" s="37" t="s">
        <v>126</v>
      </c>
      <c r="J331" s="274" t="s">
        <v>1252</v>
      </c>
      <c r="K331" s="194" t="s">
        <v>1253</v>
      </c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B332" s="333" t="s">
        <v>143</v>
      </c>
      <c r="C332" s="305" t="s">
        <v>862</v>
      </c>
      <c r="D332" s="201">
        <v>37750.0</v>
      </c>
      <c r="E332" s="35" t="s">
        <v>71</v>
      </c>
      <c r="F332" s="35" t="s">
        <v>44</v>
      </c>
      <c r="G332" s="33">
        <v>1.5</v>
      </c>
      <c r="H332" s="36" t="s">
        <v>99</v>
      </c>
      <c r="I332" s="35" t="s">
        <v>423</v>
      </c>
      <c r="J332" s="35" t="s">
        <v>1255</v>
      </c>
      <c r="K332" s="143" t="s">
        <v>1256</v>
      </c>
      <c r="L332" s="357"/>
      <c r="M332" s="357"/>
      <c r="N332" s="357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B333" s="333" t="s">
        <v>157</v>
      </c>
      <c r="C333" s="358" t="s">
        <v>158</v>
      </c>
      <c r="D333" s="201" t="s">
        <v>1257</v>
      </c>
      <c r="E333" s="35" t="s">
        <v>83</v>
      </c>
      <c r="F333" s="35" t="s">
        <v>124</v>
      </c>
      <c r="G333" s="33">
        <v>3.0</v>
      </c>
      <c r="H333" s="36" t="s">
        <v>51</v>
      </c>
      <c r="I333" s="35" t="s">
        <v>334</v>
      </c>
      <c r="J333" s="163" t="s">
        <v>1258</v>
      </c>
      <c r="K333" s="143" t="s">
        <v>1259</v>
      </c>
      <c r="L333" s="357"/>
      <c r="M333" s="357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B334" s="333" t="s">
        <v>61</v>
      </c>
      <c r="C334" s="305" t="s">
        <v>62</v>
      </c>
      <c r="D334" s="201">
        <v>37756.0</v>
      </c>
      <c r="E334" s="35" t="s">
        <v>54</v>
      </c>
      <c r="F334" s="35" t="s">
        <v>261</v>
      </c>
      <c r="G334" s="33">
        <v>3.0</v>
      </c>
      <c r="H334" s="36" t="s">
        <v>74</v>
      </c>
      <c r="I334" s="37" t="s">
        <v>65</v>
      </c>
      <c r="J334" s="37" t="s">
        <v>1262</v>
      </c>
      <c r="K334" s="21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B335" s="333" t="s">
        <v>1263</v>
      </c>
      <c r="C335" s="305" t="s">
        <v>1264</v>
      </c>
      <c r="D335" s="201">
        <v>37754.0</v>
      </c>
      <c r="E335" s="35" t="s">
        <v>24</v>
      </c>
      <c r="F335" s="35" t="s">
        <v>1199</v>
      </c>
      <c r="G335" s="35">
        <v>3.0</v>
      </c>
      <c r="H335" s="36" t="s">
        <v>51</v>
      </c>
      <c r="I335" s="36" t="s">
        <v>1144</v>
      </c>
      <c r="J335" s="62" t="s">
        <v>1265</v>
      </c>
      <c r="K335" s="168" t="s">
        <v>1266</v>
      </c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B336" s="333" t="s">
        <v>94</v>
      </c>
      <c r="C336" s="305" t="s">
        <v>95</v>
      </c>
      <c r="D336" s="201">
        <v>37760.0</v>
      </c>
      <c r="E336" s="35" t="s">
        <v>54</v>
      </c>
      <c r="F336" s="281" t="s">
        <v>1267</v>
      </c>
      <c r="G336" s="33">
        <v>3.0</v>
      </c>
      <c r="H336" s="90"/>
      <c r="I336" s="109"/>
      <c r="J336" s="109"/>
      <c r="K336" s="21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B337" s="333" t="s">
        <v>107</v>
      </c>
      <c r="C337" s="305" t="s">
        <v>1168</v>
      </c>
      <c r="D337" s="201">
        <v>37758.0</v>
      </c>
      <c r="E337" s="35" t="s">
        <v>54</v>
      </c>
      <c r="F337" s="35" t="s">
        <v>1268</v>
      </c>
      <c r="G337" s="33">
        <v>3.0</v>
      </c>
      <c r="H337" s="36" t="s">
        <v>111</v>
      </c>
      <c r="I337" s="36" t="s">
        <v>228</v>
      </c>
      <c r="J337" s="36" t="s">
        <v>1269</v>
      </c>
      <c r="K337" s="21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B338" s="333" t="s">
        <v>66</v>
      </c>
      <c r="C338" s="305" t="s">
        <v>1175</v>
      </c>
      <c r="D338" s="201">
        <v>37739.0</v>
      </c>
      <c r="E338" s="35" t="s">
        <v>83</v>
      </c>
      <c r="F338" s="35" t="s">
        <v>552</v>
      </c>
      <c r="G338" s="33">
        <v>3.0</v>
      </c>
      <c r="H338" s="36" t="s">
        <v>51</v>
      </c>
      <c r="I338" s="37" t="s">
        <v>714</v>
      </c>
      <c r="J338" s="37" t="s">
        <v>1271</v>
      </c>
      <c r="K338" s="21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B339" s="86" t="s">
        <v>167</v>
      </c>
      <c r="C339" s="13"/>
      <c r="D339" s="13"/>
      <c r="E339" s="13"/>
      <c r="F339" s="18"/>
      <c r="G339" s="88">
        <f>SUM(G328:G338)</f>
        <v>31.5</v>
      </c>
      <c r="H339" s="90"/>
      <c r="I339" s="21"/>
      <c r="J339" s="90"/>
      <c r="K339" s="21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92"/>
      <c r="I340" s="5"/>
      <c r="J340" s="92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92"/>
      <c r="I341" s="5"/>
      <c r="J341" s="92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100" t="str">
        <f>B342</f>
        <v>VAL 201</v>
      </c>
      <c r="B342" s="151" t="s">
        <v>1275</v>
      </c>
      <c r="C342" s="13"/>
      <c r="D342" s="13"/>
      <c r="E342" s="13"/>
      <c r="F342" s="13"/>
      <c r="G342" s="13"/>
      <c r="H342" s="13"/>
      <c r="I342" s="13"/>
      <c r="J342" s="13"/>
      <c r="K342" s="18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B343" s="24" t="s">
        <v>1</v>
      </c>
      <c r="C343" s="24" t="s">
        <v>2</v>
      </c>
      <c r="D343" s="24" t="s">
        <v>3</v>
      </c>
      <c r="E343" s="24" t="s">
        <v>4</v>
      </c>
      <c r="F343" s="24" t="s">
        <v>5</v>
      </c>
      <c r="G343" s="24" t="s">
        <v>6</v>
      </c>
      <c r="H343" s="228" t="s">
        <v>7</v>
      </c>
      <c r="I343" s="27" t="s">
        <v>8</v>
      </c>
      <c r="J343" s="29" t="s">
        <v>9</v>
      </c>
      <c r="K343" s="27" t="s">
        <v>10</v>
      </c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B344" s="333" t="s">
        <v>472</v>
      </c>
      <c r="C344" s="305" t="s">
        <v>473</v>
      </c>
      <c r="D344" s="66">
        <v>37921.0</v>
      </c>
      <c r="E344" s="35" t="s">
        <v>217</v>
      </c>
      <c r="F344" s="66" t="s">
        <v>63</v>
      </c>
      <c r="G344" s="33">
        <v>3.0</v>
      </c>
      <c r="H344" s="36" t="s">
        <v>477</v>
      </c>
      <c r="I344" s="35" t="s">
        <v>88</v>
      </c>
      <c r="J344" s="66" t="s">
        <v>1277</v>
      </c>
      <c r="K344" s="33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B345" s="333" t="s">
        <v>489</v>
      </c>
      <c r="C345" s="305" t="s">
        <v>490</v>
      </c>
      <c r="D345" s="201">
        <v>37927.0</v>
      </c>
      <c r="E345" s="35" t="s">
        <v>54</v>
      </c>
      <c r="F345" s="35" t="s">
        <v>255</v>
      </c>
      <c r="G345" s="33">
        <v>3.0</v>
      </c>
      <c r="H345" s="36" t="s">
        <v>232</v>
      </c>
      <c r="I345" s="37" t="s">
        <v>264</v>
      </c>
      <c r="J345" s="77" t="s">
        <v>1278</v>
      </c>
      <c r="K345" s="61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B346" s="333" t="s">
        <v>496</v>
      </c>
      <c r="C346" s="305" t="s">
        <v>497</v>
      </c>
      <c r="D346" s="201">
        <v>37917.0</v>
      </c>
      <c r="E346" s="35" t="s">
        <v>83</v>
      </c>
      <c r="F346" s="35" t="s">
        <v>44</v>
      </c>
      <c r="G346" s="33">
        <v>3.0</v>
      </c>
      <c r="H346" s="36" t="s">
        <v>219</v>
      </c>
      <c r="I346" s="37" t="s">
        <v>296</v>
      </c>
      <c r="J346" s="37" t="s">
        <v>1280</v>
      </c>
      <c r="K346" s="21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B347" s="333" t="s">
        <v>1281</v>
      </c>
      <c r="C347" s="305" t="s">
        <v>1282</v>
      </c>
      <c r="D347" s="201">
        <v>37919.0</v>
      </c>
      <c r="E347" s="35" t="s">
        <v>83</v>
      </c>
      <c r="F347" s="35" t="s">
        <v>1243</v>
      </c>
      <c r="G347" s="33">
        <v>3.0</v>
      </c>
      <c r="H347" s="36" t="s">
        <v>219</v>
      </c>
      <c r="I347" s="37" t="s">
        <v>1144</v>
      </c>
      <c r="J347" s="37" t="s">
        <v>1283</v>
      </c>
      <c r="K347" s="21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B348" s="333" t="s">
        <v>1285</v>
      </c>
      <c r="C348" s="305" t="s">
        <v>1286</v>
      </c>
      <c r="D348" s="201">
        <v>37925.0</v>
      </c>
      <c r="E348" s="35" t="s">
        <v>217</v>
      </c>
      <c r="F348" s="35" t="s">
        <v>1243</v>
      </c>
      <c r="G348" s="35">
        <v>3.0</v>
      </c>
      <c r="H348" s="36" t="s">
        <v>205</v>
      </c>
      <c r="I348" s="35" t="s">
        <v>1246</v>
      </c>
      <c r="J348" s="308" t="s">
        <v>1287</v>
      </c>
      <c r="K348" s="21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B349" s="333" t="s">
        <v>516</v>
      </c>
      <c r="C349" s="305" t="s">
        <v>891</v>
      </c>
      <c r="D349" s="201">
        <v>37935.0</v>
      </c>
      <c r="E349" s="35" t="s">
        <v>54</v>
      </c>
      <c r="F349" s="35" t="s">
        <v>85</v>
      </c>
      <c r="G349" s="33">
        <v>3.0</v>
      </c>
      <c r="H349" s="36" t="s">
        <v>232</v>
      </c>
      <c r="I349" s="35" t="s">
        <v>728</v>
      </c>
      <c r="J349" s="39" t="s">
        <v>1288</v>
      </c>
      <c r="K349" s="21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B350" s="333" t="s">
        <v>1290</v>
      </c>
      <c r="C350" s="305" t="s">
        <v>1291</v>
      </c>
      <c r="D350" s="201">
        <v>37923.0</v>
      </c>
      <c r="E350" s="35" t="s">
        <v>1292</v>
      </c>
      <c r="F350" s="35" t="s">
        <v>455</v>
      </c>
      <c r="G350" s="33">
        <v>3.0</v>
      </c>
      <c r="H350" s="36" t="s">
        <v>1293</v>
      </c>
      <c r="I350" s="37" t="s">
        <v>1144</v>
      </c>
      <c r="J350" s="164" t="s">
        <v>1294</v>
      </c>
      <c r="K350" s="21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B351" s="333" t="s">
        <v>1295</v>
      </c>
      <c r="C351" s="305" t="s">
        <v>1296</v>
      </c>
      <c r="D351" s="201">
        <v>37931.0</v>
      </c>
      <c r="E351" s="35" t="s">
        <v>24</v>
      </c>
      <c r="F351" s="35" t="s">
        <v>1243</v>
      </c>
      <c r="G351" s="35">
        <v>3.0</v>
      </c>
      <c r="H351" s="36" t="s">
        <v>466</v>
      </c>
      <c r="I351" s="36" t="s">
        <v>1246</v>
      </c>
      <c r="J351" s="62" t="s">
        <v>1298</v>
      </c>
      <c r="K351" s="61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B352" s="333" t="s">
        <v>924</v>
      </c>
      <c r="C352" s="305" t="s">
        <v>404</v>
      </c>
      <c r="D352" s="201">
        <v>37933.0</v>
      </c>
      <c r="E352" s="35" t="s">
        <v>54</v>
      </c>
      <c r="F352" s="35" t="s">
        <v>633</v>
      </c>
      <c r="G352" s="35">
        <v>2.0</v>
      </c>
      <c r="H352" s="36" t="s">
        <v>149</v>
      </c>
      <c r="I352" s="37" t="s">
        <v>926</v>
      </c>
      <c r="J352" s="37" t="s">
        <v>1301</v>
      </c>
      <c r="K352" s="21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B353" s="333" t="s">
        <v>410</v>
      </c>
      <c r="C353" s="305" t="s">
        <v>929</v>
      </c>
      <c r="D353" s="201">
        <v>37929.0</v>
      </c>
      <c r="E353" s="35" t="s">
        <v>24</v>
      </c>
      <c r="F353" s="35" t="s">
        <v>85</v>
      </c>
      <c r="G353" s="35">
        <v>1.5</v>
      </c>
      <c r="H353" s="36" t="s">
        <v>281</v>
      </c>
      <c r="I353" s="36" t="s">
        <v>70</v>
      </c>
      <c r="J353" s="36" t="s">
        <v>1302</v>
      </c>
      <c r="K353" s="194" t="s">
        <v>69</v>
      </c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B354" s="86" t="s">
        <v>167</v>
      </c>
      <c r="C354" s="13"/>
      <c r="D354" s="13"/>
      <c r="E354" s="13"/>
      <c r="F354" s="18"/>
      <c r="G354" s="88">
        <f>SUM(G344:G353)</f>
        <v>27.5</v>
      </c>
      <c r="H354" s="90"/>
      <c r="I354" s="21"/>
      <c r="J354" s="90"/>
      <c r="K354" s="21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92"/>
      <c r="I355" s="5"/>
      <c r="J355" s="92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92"/>
      <c r="I356" s="5"/>
      <c r="J356" s="92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92"/>
      <c r="I357" s="5"/>
      <c r="J357" s="92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92"/>
      <c r="I358" s="5"/>
      <c r="J358" s="92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92"/>
      <c r="I359" s="5"/>
      <c r="J359" s="92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100" t="s">
        <v>1303</v>
      </c>
      <c r="B360" s="11" t="s">
        <v>1303</v>
      </c>
      <c r="C360" s="13"/>
      <c r="D360" s="13"/>
      <c r="E360" s="13"/>
      <c r="F360" s="13"/>
      <c r="G360" s="13"/>
      <c r="H360" s="13"/>
      <c r="I360" s="13"/>
      <c r="J360" s="13"/>
      <c r="K360" s="18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B361" s="24" t="s">
        <v>1</v>
      </c>
      <c r="C361" s="24" t="s">
        <v>2</v>
      </c>
      <c r="D361" s="24" t="s">
        <v>3</v>
      </c>
      <c r="E361" s="24" t="s">
        <v>4</v>
      </c>
      <c r="F361" s="24" t="s">
        <v>5</v>
      </c>
      <c r="G361" s="24" t="s">
        <v>6</v>
      </c>
      <c r="H361" s="173"/>
      <c r="I361" s="21"/>
      <c r="J361" s="29" t="s">
        <v>9</v>
      </c>
      <c r="K361" s="27" t="s">
        <v>10</v>
      </c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B362" s="33" t="s">
        <v>1304</v>
      </c>
      <c r="C362" s="34" t="s">
        <v>1305</v>
      </c>
      <c r="D362" s="322">
        <v>38103.0</v>
      </c>
      <c r="E362" s="35" t="s">
        <v>54</v>
      </c>
      <c r="F362" s="35" t="s">
        <v>124</v>
      </c>
      <c r="G362" s="33">
        <v>3.0</v>
      </c>
      <c r="H362" s="36" t="s">
        <v>205</v>
      </c>
      <c r="I362" s="365" t="s">
        <v>512</v>
      </c>
      <c r="J362" s="37" t="s">
        <v>1306</v>
      </c>
      <c r="K362" s="109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B363" s="33" t="s">
        <v>1308</v>
      </c>
      <c r="C363" s="34" t="s">
        <v>1309</v>
      </c>
      <c r="D363" s="322">
        <v>38105.0</v>
      </c>
      <c r="E363" s="35" t="s">
        <v>54</v>
      </c>
      <c r="F363" s="35" t="s">
        <v>948</v>
      </c>
      <c r="G363" s="33">
        <v>3.0</v>
      </c>
      <c r="H363" s="36" t="s">
        <v>205</v>
      </c>
      <c r="I363" s="176" t="s">
        <v>621</v>
      </c>
      <c r="J363" s="176" t="s">
        <v>1310</v>
      </c>
      <c r="K363" s="109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B364" s="33" t="s">
        <v>1311</v>
      </c>
      <c r="C364" s="34" t="s">
        <v>1312</v>
      </c>
      <c r="D364" s="322">
        <v>38101.0</v>
      </c>
      <c r="E364" s="35" t="s">
        <v>54</v>
      </c>
      <c r="F364" s="35" t="s">
        <v>261</v>
      </c>
      <c r="G364" s="33">
        <v>3.0</v>
      </c>
      <c r="H364" s="36" t="s">
        <v>205</v>
      </c>
      <c r="I364" s="37" t="s">
        <v>1313</v>
      </c>
      <c r="J364" s="176" t="s">
        <v>1314</v>
      </c>
      <c r="K364" s="109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B365" s="86" t="s">
        <v>167</v>
      </c>
      <c r="C365" s="13"/>
      <c r="D365" s="13"/>
      <c r="E365" s="13"/>
      <c r="F365" s="18"/>
      <c r="G365" s="88">
        <f>SUM(G362:G364)</f>
        <v>9</v>
      </c>
      <c r="H365" s="90"/>
      <c r="I365" s="21"/>
      <c r="J365" s="90"/>
      <c r="K365" s="21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92"/>
      <c r="I366" s="5"/>
      <c r="J366" s="92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92"/>
      <c r="I367" s="5"/>
      <c r="J367" s="92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92"/>
      <c r="I368" s="5"/>
      <c r="J368" s="92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92"/>
      <c r="I369" s="5"/>
      <c r="J369" s="92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92"/>
      <c r="I370" s="5"/>
      <c r="J370" s="92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92"/>
      <c r="I371" s="5"/>
      <c r="J371" s="92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92"/>
      <c r="I372" s="5"/>
      <c r="J372" s="92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92"/>
      <c r="I373" s="5"/>
      <c r="J373" s="92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92"/>
      <c r="I374" s="5"/>
      <c r="J374" s="92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92"/>
      <c r="I375" s="5"/>
      <c r="J375" s="92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92"/>
      <c r="I376" s="5"/>
      <c r="J376" s="92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92"/>
      <c r="I377" s="5"/>
      <c r="J377" s="92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92"/>
      <c r="I378" s="5"/>
      <c r="J378" s="92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92"/>
      <c r="I379" s="5"/>
      <c r="J379" s="92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92"/>
      <c r="I380" s="5"/>
      <c r="J380" s="92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92"/>
      <c r="I381" s="5"/>
      <c r="J381" s="92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92"/>
      <c r="I382" s="5"/>
      <c r="J382" s="92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92"/>
      <c r="I383" s="5"/>
      <c r="J383" s="92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92"/>
      <c r="I384" s="5"/>
      <c r="J384" s="92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92"/>
      <c r="I385" s="5"/>
      <c r="J385" s="92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92"/>
      <c r="I386" s="5"/>
      <c r="J386" s="92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92"/>
      <c r="I387" s="5"/>
      <c r="J387" s="92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92"/>
      <c r="I388" s="5"/>
      <c r="J388" s="92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92"/>
      <c r="I389" s="5"/>
      <c r="J389" s="92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92"/>
      <c r="I390" s="5"/>
      <c r="J390" s="92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92"/>
      <c r="I391" s="5"/>
      <c r="J391" s="92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92"/>
      <c r="I392" s="5"/>
      <c r="J392" s="92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92"/>
      <c r="I393" s="5"/>
      <c r="J393" s="92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92"/>
      <c r="I394" s="5"/>
      <c r="J394" s="92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92"/>
      <c r="I395" s="5"/>
      <c r="J395" s="92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92"/>
      <c r="I396" s="5"/>
      <c r="J396" s="92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92"/>
      <c r="I397" s="5"/>
      <c r="J397" s="92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92"/>
      <c r="I398" s="5"/>
      <c r="J398" s="92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92"/>
      <c r="I399" s="5"/>
      <c r="J399" s="92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92"/>
      <c r="I400" s="5"/>
      <c r="J400" s="92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92"/>
      <c r="I401" s="5"/>
      <c r="J401" s="92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92"/>
      <c r="I402" s="5"/>
      <c r="J402" s="92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92"/>
      <c r="I403" s="5"/>
      <c r="J403" s="92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92"/>
      <c r="I404" s="5"/>
      <c r="J404" s="92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92"/>
      <c r="I405" s="5"/>
      <c r="J405" s="92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92"/>
      <c r="I406" s="5"/>
      <c r="J406" s="92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92"/>
      <c r="I407" s="5"/>
      <c r="J407" s="92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92"/>
      <c r="I408" s="5"/>
      <c r="J408" s="92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92"/>
      <c r="I409" s="5"/>
      <c r="J409" s="92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92"/>
      <c r="I410" s="5"/>
      <c r="J410" s="92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92"/>
      <c r="I411" s="5"/>
      <c r="J411" s="92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92"/>
      <c r="I412" s="5"/>
      <c r="J412" s="92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92"/>
      <c r="I413" s="5"/>
      <c r="J413" s="92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92"/>
      <c r="I414" s="5"/>
      <c r="J414" s="92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92"/>
      <c r="I415" s="5"/>
      <c r="J415" s="92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92"/>
      <c r="I416" s="5"/>
      <c r="J416" s="92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92"/>
      <c r="I417" s="5"/>
      <c r="J417" s="92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92"/>
      <c r="I418" s="5"/>
      <c r="J418" s="92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92"/>
      <c r="I419" s="5"/>
      <c r="J419" s="92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92"/>
      <c r="I420" s="5"/>
      <c r="J420" s="92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92"/>
      <c r="I421" s="5"/>
      <c r="J421" s="92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92"/>
      <c r="I422" s="5"/>
      <c r="J422" s="92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92"/>
      <c r="I423" s="5"/>
      <c r="J423" s="92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92"/>
      <c r="I424" s="5"/>
      <c r="J424" s="92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92"/>
      <c r="I425" s="5"/>
      <c r="J425" s="92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92"/>
      <c r="I426" s="5"/>
      <c r="J426" s="92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92"/>
      <c r="I427" s="5"/>
      <c r="J427" s="92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92"/>
      <c r="I428" s="5"/>
      <c r="J428" s="92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92"/>
      <c r="I429" s="5"/>
      <c r="J429" s="92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92"/>
      <c r="I430" s="5"/>
      <c r="J430" s="92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92"/>
      <c r="I431" s="5"/>
      <c r="J431" s="92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92"/>
      <c r="I432" s="5"/>
      <c r="J432" s="92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92"/>
      <c r="I433" s="5"/>
      <c r="J433" s="92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92"/>
      <c r="I434" s="5"/>
      <c r="J434" s="92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92"/>
      <c r="I435" s="5"/>
      <c r="J435" s="92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92"/>
      <c r="I436" s="5"/>
      <c r="J436" s="92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92"/>
      <c r="I437" s="5"/>
      <c r="J437" s="92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92"/>
      <c r="I438" s="5"/>
      <c r="J438" s="92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92"/>
      <c r="I439" s="5"/>
      <c r="J439" s="92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92"/>
      <c r="I440" s="5"/>
      <c r="J440" s="92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92"/>
      <c r="I441" s="5"/>
      <c r="J441" s="92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92"/>
      <c r="I442" s="5"/>
      <c r="J442" s="92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92"/>
      <c r="I443" s="5"/>
      <c r="J443" s="92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92"/>
      <c r="I444" s="5"/>
      <c r="J444" s="92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92"/>
      <c r="I445" s="5"/>
      <c r="J445" s="92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92"/>
      <c r="I446" s="5"/>
      <c r="J446" s="92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92"/>
      <c r="I447" s="5"/>
      <c r="J447" s="92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92"/>
      <c r="I448" s="5"/>
      <c r="J448" s="92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92"/>
      <c r="I449" s="5"/>
      <c r="J449" s="92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92"/>
      <c r="I450" s="5"/>
      <c r="J450" s="92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92"/>
      <c r="I451" s="5"/>
      <c r="J451" s="92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92"/>
      <c r="I452" s="5"/>
      <c r="J452" s="92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92"/>
      <c r="I453" s="5"/>
      <c r="J453" s="92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92"/>
      <c r="I454" s="5"/>
      <c r="J454" s="92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92"/>
      <c r="I455" s="5"/>
      <c r="J455" s="92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92"/>
      <c r="I456" s="5"/>
      <c r="J456" s="92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92"/>
      <c r="I457" s="5"/>
      <c r="J457" s="92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92"/>
      <c r="I458" s="5"/>
      <c r="J458" s="92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92"/>
      <c r="I459" s="5"/>
      <c r="J459" s="92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92"/>
      <c r="I460" s="5"/>
      <c r="J460" s="92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92"/>
      <c r="I461" s="5"/>
      <c r="J461" s="92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92"/>
      <c r="I462" s="5"/>
      <c r="J462" s="92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92"/>
      <c r="I463" s="5"/>
      <c r="J463" s="92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92"/>
      <c r="I464" s="5"/>
      <c r="J464" s="92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92"/>
      <c r="I465" s="5"/>
      <c r="J465" s="92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92"/>
      <c r="I466" s="5"/>
      <c r="J466" s="92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92"/>
      <c r="I467" s="5"/>
      <c r="J467" s="92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92"/>
      <c r="I468" s="5"/>
      <c r="J468" s="92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92"/>
      <c r="I469" s="5"/>
      <c r="J469" s="92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92"/>
      <c r="I470" s="5"/>
      <c r="J470" s="92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92"/>
      <c r="I471" s="5"/>
      <c r="J471" s="92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92"/>
      <c r="I472" s="5"/>
      <c r="J472" s="92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92"/>
      <c r="I473" s="5"/>
      <c r="J473" s="92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92"/>
      <c r="I474" s="5"/>
      <c r="J474" s="92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92"/>
      <c r="I475" s="5"/>
      <c r="J475" s="92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92"/>
      <c r="I476" s="5"/>
      <c r="J476" s="92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92"/>
      <c r="I477" s="5"/>
      <c r="J477" s="92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92"/>
      <c r="I478" s="5"/>
      <c r="J478" s="92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92"/>
      <c r="I479" s="5"/>
      <c r="J479" s="92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92"/>
      <c r="I480" s="5"/>
      <c r="J480" s="92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92"/>
      <c r="I481" s="5"/>
      <c r="J481" s="92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92"/>
      <c r="I482" s="5"/>
      <c r="J482" s="92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92"/>
      <c r="I483" s="5"/>
      <c r="J483" s="92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92"/>
      <c r="I484" s="5"/>
      <c r="J484" s="92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92"/>
      <c r="I485" s="5"/>
      <c r="J485" s="92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92"/>
      <c r="I486" s="5"/>
      <c r="J486" s="92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92"/>
      <c r="I487" s="5"/>
      <c r="J487" s="92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92"/>
      <c r="I488" s="5"/>
      <c r="J488" s="92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92"/>
      <c r="I489" s="5"/>
      <c r="J489" s="92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92"/>
      <c r="I490" s="5"/>
      <c r="J490" s="92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92"/>
      <c r="I491" s="5"/>
      <c r="J491" s="92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92"/>
      <c r="I492" s="5"/>
      <c r="J492" s="92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92"/>
      <c r="I493" s="5"/>
      <c r="J493" s="92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92"/>
      <c r="I494" s="5"/>
      <c r="J494" s="92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92"/>
      <c r="I495" s="5"/>
      <c r="J495" s="92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92"/>
      <c r="I496" s="5"/>
      <c r="J496" s="92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92"/>
      <c r="I497" s="5"/>
      <c r="J497" s="92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92"/>
      <c r="I498" s="5"/>
      <c r="J498" s="92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92"/>
      <c r="I499" s="5"/>
      <c r="J499" s="92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92"/>
      <c r="I500" s="5"/>
      <c r="J500" s="92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92"/>
      <c r="I501" s="5"/>
      <c r="J501" s="92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92"/>
      <c r="I502" s="5"/>
      <c r="J502" s="92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92"/>
      <c r="I503" s="5"/>
      <c r="J503" s="92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92"/>
      <c r="I504" s="5"/>
      <c r="J504" s="92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92"/>
      <c r="I505" s="5"/>
      <c r="J505" s="92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92"/>
      <c r="I506" s="5"/>
      <c r="J506" s="92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92"/>
      <c r="I507" s="5"/>
      <c r="J507" s="92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92"/>
      <c r="I508" s="5"/>
      <c r="J508" s="92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92"/>
      <c r="I509" s="5"/>
      <c r="J509" s="92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92"/>
      <c r="I510" s="5"/>
      <c r="J510" s="92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92"/>
      <c r="I511" s="5"/>
      <c r="J511" s="92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92"/>
      <c r="I512" s="5"/>
      <c r="J512" s="92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92"/>
      <c r="I513" s="5"/>
      <c r="J513" s="92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92"/>
      <c r="I514" s="5"/>
      <c r="J514" s="92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92"/>
      <c r="I515" s="5"/>
      <c r="J515" s="92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92"/>
      <c r="I516" s="5"/>
      <c r="J516" s="92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92"/>
      <c r="I517" s="5"/>
      <c r="J517" s="92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92"/>
      <c r="I518" s="5"/>
      <c r="J518" s="92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92"/>
      <c r="I519" s="5"/>
      <c r="J519" s="92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92"/>
      <c r="I520" s="5"/>
      <c r="J520" s="92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92"/>
      <c r="I521" s="5"/>
      <c r="J521" s="92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92"/>
      <c r="I522" s="5"/>
      <c r="J522" s="92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92"/>
      <c r="I523" s="5"/>
      <c r="J523" s="92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92"/>
      <c r="I524" s="5"/>
      <c r="J524" s="92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92"/>
      <c r="I525" s="5"/>
      <c r="J525" s="92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92"/>
      <c r="I526" s="5"/>
      <c r="J526" s="92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92"/>
      <c r="I527" s="5"/>
      <c r="J527" s="92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92"/>
      <c r="I528" s="5"/>
      <c r="J528" s="92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92"/>
      <c r="I529" s="5"/>
      <c r="J529" s="92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92"/>
      <c r="I530" s="5"/>
      <c r="J530" s="92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92"/>
      <c r="I531" s="5"/>
      <c r="J531" s="92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92"/>
      <c r="I532" s="5"/>
      <c r="J532" s="92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92"/>
      <c r="I533" s="5"/>
      <c r="J533" s="92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92"/>
      <c r="I534" s="5"/>
      <c r="J534" s="92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92"/>
      <c r="I535" s="5"/>
      <c r="J535" s="92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92"/>
      <c r="I536" s="5"/>
      <c r="J536" s="92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92"/>
      <c r="I537" s="5"/>
      <c r="J537" s="92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92"/>
      <c r="I538" s="5"/>
      <c r="J538" s="92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92"/>
      <c r="I539" s="5"/>
      <c r="J539" s="92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92"/>
      <c r="I540" s="5"/>
      <c r="J540" s="92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92"/>
      <c r="I541" s="5"/>
      <c r="J541" s="92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92"/>
      <c r="I542" s="5"/>
      <c r="J542" s="92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92"/>
      <c r="I543" s="5"/>
      <c r="J543" s="92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92"/>
      <c r="I544" s="5"/>
      <c r="J544" s="92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92"/>
      <c r="I545" s="5"/>
      <c r="J545" s="92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92"/>
      <c r="I546" s="5"/>
      <c r="J546" s="92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92"/>
      <c r="I547" s="5"/>
      <c r="J547" s="92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92"/>
      <c r="I548" s="5"/>
      <c r="J548" s="92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92"/>
      <c r="I549" s="5"/>
      <c r="J549" s="92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92"/>
      <c r="I550" s="5"/>
      <c r="J550" s="92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92"/>
      <c r="I551" s="5"/>
      <c r="J551" s="92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92"/>
      <c r="I552" s="5"/>
      <c r="J552" s="92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92"/>
      <c r="I553" s="5"/>
      <c r="J553" s="92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92"/>
      <c r="I554" s="5"/>
      <c r="J554" s="92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92"/>
      <c r="I555" s="5"/>
      <c r="J555" s="92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92"/>
      <c r="I556" s="5"/>
      <c r="J556" s="92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92"/>
      <c r="I557" s="5"/>
      <c r="J557" s="92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92"/>
      <c r="I558" s="5"/>
      <c r="J558" s="92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92"/>
      <c r="I559" s="5"/>
      <c r="J559" s="92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92"/>
      <c r="I560" s="5"/>
      <c r="J560" s="92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92"/>
      <c r="I561" s="5"/>
      <c r="J561" s="92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92"/>
      <c r="I562" s="5"/>
      <c r="J562" s="92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92"/>
      <c r="I563" s="5"/>
      <c r="J563" s="92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92"/>
      <c r="I564" s="5"/>
      <c r="J564" s="92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92"/>
      <c r="I565" s="5"/>
      <c r="J565" s="92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92"/>
      <c r="I566" s="5"/>
      <c r="J566" s="92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92"/>
      <c r="I567" s="5"/>
      <c r="J567" s="92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92"/>
      <c r="I568" s="5"/>
      <c r="J568" s="92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92"/>
      <c r="I569" s="5"/>
      <c r="J569" s="92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92"/>
      <c r="I570" s="5"/>
      <c r="J570" s="92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92"/>
      <c r="I571" s="5"/>
      <c r="J571" s="92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92"/>
      <c r="I572" s="5"/>
      <c r="J572" s="92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92"/>
      <c r="I573" s="5"/>
      <c r="J573" s="92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92"/>
      <c r="I574" s="5"/>
      <c r="J574" s="92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92"/>
      <c r="I575" s="5"/>
      <c r="J575" s="92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92"/>
      <c r="I576" s="5"/>
      <c r="J576" s="92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92"/>
      <c r="I577" s="5"/>
      <c r="J577" s="92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92"/>
      <c r="I578" s="5"/>
      <c r="J578" s="92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92"/>
      <c r="I579" s="5"/>
      <c r="J579" s="92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92"/>
      <c r="I580" s="5"/>
      <c r="J580" s="92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92"/>
      <c r="I581" s="5"/>
      <c r="J581" s="92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92"/>
      <c r="I582" s="5"/>
      <c r="J582" s="92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92"/>
      <c r="I583" s="5"/>
      <c r="J583" s="92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92"/>
      <c r="I584" s="5"/>
      <c r="J584" s="92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92"/>
      <c r="I585" s="5"/>
      <c r="J585" s="92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92"/>
      <c r="I586" s="5"/>
      <c r="J586" s="92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92"/>
      <c r="I587" s="5"/>
      <c r="J587" s="92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92"/>
      <c r="I588" s="5"/>
      <c r="J588" s="92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92"/>
      <c r="I589" s="5"/>
      <c r="J589" s="92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92"/>
      <c r="I590" s="5"/>
      <c r="J590" s="92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92"/>
      <c r="I591" s="5"/>
      <c r="J591" s="92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92"/>
      <c r="I592" s="5"/>
      <c r="J592" s="92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92"/>
      <c r="I593" s="5"/>
      <c r="J593" s="92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92"/>
      <c r="I594" s="5"/>
      <c r="J594" s="92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92"/>
      <c r="I595" s="5"/>
      <c r="J595" s="92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92"/>
      <c r="I596" s="5"/>
      <c r="J596" s="92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92"/>
      <c r="I597" s="5"/>
      <c r="J597" s="92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92"/>
      <c r="I598" s="5"/>
      <c r="J598" s="92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92"/>
      <c r="I599" s="5"/>
      <c r="J599" s="92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92"/>
      <c r="I600" s="5"/>
      <c r="J600" s="92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92"/>
      <c r="I601" s="5"/>
      <c r="J601" s="92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92"/>
      <c r="I602" s="5"/>
      <c r="J602" s="92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92"/>
      <c r="I603" s="5"/>
      <c r="J603" s="92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92"/>
      <c r="I604" s="5"/>
      <c r="J604" s="92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92"/>
      <c r="I605" s="5"/>
      <c r="J605" s="92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92"/>
      <c r="I606" s="5"/>
      <c r="J606" s="92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92"/>
      <c r="I607" s="5"/>
      <c r="J607" s="92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92"/>
      <c r="I608" s="5"/>
      <c r="J608" s="92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92"/>
      <c r="I609" s="5"/>
      <c r="J609" s="92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92"/>
      <c r="I610" s="5"/>
      <c r="J610" s="92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92"/>
      <c r="I611" s="5"/>
      <c r="J611" s="92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92"/>
      <c r="I612" s="5"/>
      <c r="J612" s="92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92"/>
      <c r="I613" s="5"/>
      <c r="J613" s="92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92"/>
      <c r="I614" s="5"/>
      <c r="J614" s="92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92"/>
      <c r="I615" s="5"/>
      <c r="J615" s="92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92"/>
      <c r="I616" s="5"/>
      <c r="J616" s="92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92"/>
      <c r="I617" s="5"/>
      <c r="J617" s="92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92"/>
      <c r="I618" s="5"/>
      <c r="J618" s="92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92"/>
      <c r="I619" s="5"/>
      <c r="J619" s="92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92"/>
      <c r="I620" s="5"/>
      <c r="J620" s="92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92"/>
      <c r="I621" s="5"/>
      <c r="J621" s="92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92"/>
      <c r="I622" s="5"/>
      <c r="J622" s="92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92"/>
      <c r="I623" s="5"/>
      <c r="J623" s="92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92"/>
      <c r="I624" s="5"/>
      <c r="J624" s="92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92"/>
      <c r="I625" s="5"/>
      <c r="J625" s="92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92"/>
      <c r="I626" s="5"/>
      <c r="J626" s="92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92"/>
      <c r="I627" s="5"/>
      <c r="J627" s="92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92"/>
      <c r="I628" s="5"/>
      <c r="J628" s="92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92"/>
      <c r="I629" s="5"/>
      <c r="J629" s="92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92"/>
      <c r="I630" s="5"/>
      <c r="J630" s="92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92"/>
      <c r="I631" s="5"/>
      <c r="J631" s="92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92"/>
      <c r="I632" s="5"/>
      <c r="J632" s="92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92"/>
      <c r="I633" s="5"/>
      <c r="J633" s="92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92"/>
      <c r="I634" s="5"/>
      <c r="J634" s="92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92"/>
      <c r="I635" s="5"/>
      <c r="J635" s="92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92"/>
      <c r="I636" s="5"/>
      <c r="J636" s="92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92"/>
      <c r="I637" s="5"/>
      <c r="J637" s="92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92"/>
      <c r="I638" s="5"/>
      <c r="J638" s="92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92"/>
      <c r="I639" s="5"/>
      <c r="J639" s="92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92"/>
      <c r="I640" s="5"/>
      <c r="J640" s="92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92"/>
      <c r="I641" s="5"/>
      <c r="J641" s="92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92"/>
      <c r="I642" s="5"/>
      <c r="J642" s="92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92"/>
      <c r="I643" s="5"/>
      <c r="J643" s="92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92"/>
      <c r="I644" s="5"/>
      <c r="J644" s="92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92"/>
      <c r="I645" s="5"/>
      <c r="J645" s="92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92"/>
      <c r="I646" s="5"/>
      <c r="J646" s="92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92"/>
      <c r="I647" s="5"/>
      <c r="J647" s="92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92"/>
      <c r="I648" s="5"/>
      <c r="J648" s="92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92"/>
      <c r="I649" s="5"/>
      <c r="J649" s="92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92"/>
      <c r="I650" s="5"/>
      <c r="J650" s="92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92"/>
      <c r="I651" s="5"/>
      <c r="J651" s="92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92"/>
      <c r="I652" s="5"/>
      <c r="J652" s="92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92"/>
      <c r="I653" s="5"/>
      <c r="J653" s="92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92"/>
      <c r="I654" s="5"/>
      <c r="J654" s="92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92"/>
      <c r="I655" s="5"/>
      <c r="J655" s="92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92"/>
      <c r="I656" s="5"/>
      <c r="J656" s="92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92"/>
      <c r="I657" s="5"/>
      <c r="J657" s="92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92"/>
      <c r="I658" s="5"/>
      <c r="J658" s="92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92"/>
      <c r="I659" s="5"/>
      <c r="J659" s="92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92"/>
      <c r="I660" s="5"/>
      <c r="J660" s="92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92"/>
      <c r="I661" s="5"/>
      <c r="J661" s="92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92"/>
      <c r="I662" s="5"/>
      <c r="J662" s="92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92"/>
      <c r="I663" s="5"/>
      <c r="J663" s="92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92"/>
      <c r="I664" s="5"/>
      <c r="J664" s="92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92"/>
      <c r="I665" s="5"/>
      <c r="J665" s="92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92"/>
      <c r="I666" s="5"/>
      <c r="J666" s="92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92"/>
      <c r="I667" s="5"/>
      <c r="J667" s="92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92"/>
      <c r="I668" s="5"/>
      <c r="J668" s="92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92"/>
      <c r="I669" s="5"/>
      <c r="J669" s="92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92"/>
      <c r="I670" s="5"/>
      <c r="J670" s="92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92"/>
      <c r="I671" s="5"/>
      <c r="J671" s="92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92"/>
      <c r="I672" s="5"/>
      <c r="J672" s="92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92"/>
      <c r="I673" s="5"/>
      <c r="J673" s="92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92"/>
      <c r="I674" s="5"/>
      <c r="J674" s="92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92"/>
      <c r="I675" s="5"/>
      <c r="J675" s="92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92"/>
      <c r="I676" s="5"/>
      <c r="J676" s="92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92"/>
      <c r="I677" s="5"/>
      <c r="J677" s="92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92"/>
      <c r="I678" s="5"/>
      <c r="J678" s="92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92"/>
      <c r="I679" s="5"/>
      <c r="J679" s="92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92"/>
      <c r="I680" s="5"/>
      <c r="J680" s="92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92"/>
      <c r="I681" s="5"/>
      <c r="J681" s="92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92"/>
      <c r="I682" s="5"/>
      <c r="J682" s="92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92"/>
      <c r="I683" s="5"/>
      <c r="J683" s="92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92"/>
      <c r="I684" s="5"/>
      <c r="J684" s="92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92"/>
      <c r="I685" s="5"/>
      <c r="J685" s="92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92"/>
      <c r="I686" s="5"/>
      <c r="J686" s="92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92"/>
      <c r="I687" s="5"/>
      <c r="J687" s="92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92"/>
      <c r="I688" s="5"/>
      <c r="J688" s="92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92"/>
      <c r="I689" s="5"/>
      <c r="J689" s="92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92"/>
      <c r="I690" s="5"/>
      <c r="J690" s="92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92"/>
      <c r="I691" s="5"/>
      <c r="J691" s="92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92"/>
      <c r="I692" s="5"/>
      <c r="J692" s="92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92"/>
      <c r="I693" s="5"/>
      <c r="J693" s="92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92"/>
      <c r="I694" s="5"/>
      <c r="J694" s="92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92"/>
      <c r="I695" s="5"/>
      <c r="J695" s="92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92"/>
      <c r="I696" s="5"/>
      <c r="J696" s="92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92"/>
      <c r="I697" s="5"/>
      <c r="J697" s="92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92"/>
      <c r="I698" s="5"/>
      <c r="J698" s="92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92"/>
      <c r="I699" s="5"/>
      <c r="J699" s="92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92"/>
      <c r="I700" s="5"/>
      <c r="J700" s="92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92"/>
      <c r="I701" s="5"/>
      <c r="J701" s="92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92"/>
      <c r="I702" s="5"/>
      <c r="J702" s="92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92"/>
      <c r="I703" s="5"/>
      <c r="J703" s="92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92"/>
      <c r="I704" s="5"/>
      <c r="J704" s="92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92"/>
      <c r="I705" s="5"/>
      <c r="J705" s="92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92"/>
      <c r="I706" s="5"/>
      <c r="J706" s="92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92"/>
      <c r="I707" s="5"/>
      <c r="J707" s="92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92"/>
      <c r="I708" s="5"/>
      <c r="J708" s="92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92"/>
      <c r="I709" s="5"/>
      <c r="J709" s="92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92"/>
      <c r="I710" s="5"/>
      <c r="J710" s="92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92"/>
      <c r="I711" s="5"/>
      <c r="J711" s="92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92"/>
      <c r="I712" s="5"/>
      <c r="J712" s="92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92"/>
      <c r="I713" s="5"/>
      <c r="J713" s="92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92"/>
      <c r="I714" s="5"/>
      <c r="J714" s="92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92"/>
      <c r="I715" s="5"/>
      <c r="J715" s="92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92"/>
      <c r="I716" s="5"/>
      <c r="J716" s="92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92"/>
      <c r="I717" s="5"/>
      <c r="J717" s="92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92"/>
      <c r="I718" s="5"/>
      <c r="J718" s="92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92"/>
      <c r="I719" s="5"/>
      <c r="J719" s="92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92"/>
      <c r="I720" s="5"/>
      <c r="J720" s="92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92"/>
      <c r="I721" s="5"/>
      <c r="J721" s="92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92"/>
      <c r="I722" s="5"/>
      <c r="J722" s="92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92"/>
      <c r="I723" s="5"/>
      <c r="J723" s="92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92"/>
      <c r="I724" s="5"/>
      <c r="J724" s="92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92"/>
      <c r="I725" s="5"/>
      <c r="J725" s="92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92"/>
      <c r="I726" s="5"/>
      <c r="J726" s="92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92"/>
      <c r="I727" s="5"/>
      <c r="J727" s="92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92"/>
      <c r="I728" s="5"/>
      <c r="J728" s="92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92"/>
      <c r="I729" s="5"/>
      <c r="J729" s="92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92"/>
      <c r="I730" s="5"/>
      <c r="J730" s="92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92"/>
      <c r="I731" s="5"/>
      <c r="J731" s="92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92"/>
      <c r="I732" s="5"/>
      <c r="J732" s="92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92"/>
      <c r="I733" s="5"/>
      <c r="J733" s="92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92"/>
      <c r="I734" s="5"/>
      <c r="J734" s="92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92"/>
      <c r="I735" s="5"/>
      <c r="J735" s="92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92"/>
      <c r="I736" s="5"/>
      <c r="J736" s="92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92"/>
      <c r="I737" s="5"/>
      <c r="J737" s="92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92"/>
      <c r="I738" s="5"/>
      <c r="J738" s="92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92"/>
      <c r="I739" s="5"/>
      <c r="J739" s="92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92"/>
      <c r="I740" s="5"/>
      <c r="J740" s="92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92"/>
      <c r="I741" s="5"/>
      <c r="J741" s="92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92"/>
      <c r="I742" s="5"/>
      <c r="J742" s="92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92"/>
      <c r="I743" s="5"/>
      <c r="J743" s="92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92"/>
      <c r="I744" s="5"/>
      <c r="J744" s="92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92"/>
      <c r="I745" s="5"/>
      <c r="J745" s="92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92"/>
      <c r="I746" s="5"/>
      <c r="J746" s="92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92"/>
      <c r="I747" s="5"/>
      <c r="J747" s="92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92"/>
      <c r="I748" s="5"/>
      <c r="J748" s="92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92"/>
      <c r="I749" s="5"/>
      <c r="J749" s="92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92"/>
      <c r="I750" s="5"/>
      <c r="J750" s="92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92"/>
      <c r="I751" s="5"/>
      <c r="J751" s="92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92"/>
      <c r="I752" s="5"/>
      <c r="J752" s="92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92"/>
      <c r="I753" s="5"/>
      <c r="J753" s="92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92"/>
      <c r="I754" s="5"/>
      <c r="J754" s="92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92"/>
      <c r="I755" s="5"/>
      <c r="J755" s="92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92"/>
      <c r="I756" s="5"/>
      <c r="J756" s="92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92"/>
      <c r="I757" s="5"/>
      <c r="J757" s="92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92"/>
      <c r="I758" s="5"/>
      <c r="J758" s="92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92"/>
      <c r="I759" s="5"/>
      <c r="J759" s="92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92"/>
      <c r="I760" s="5"/>
      <c r="J760" s="92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92"/>
      <c r="I761" s="5"/>
      <c r="J761" s="92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92"/>
      <c r="I762" s="5"/>
      <c r="J762" s="92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92"/>
      <c r="I763" s="5"/>
      <c r="J763" s="92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92"/>
      <c r="I764" s="5"/>
      <c r="J764" s="92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92"/>
      <c r="I765" s="5"/>
      <c r="J765" s="92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92"/>
      <c r="I766" s="5"/>
      <c r="J766" s="92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92"/>
      <c r="I767" s="5"/>
      <c r="J767" s="92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92"/>
      <c r="I768" s="5"/>
      <c r="J768" s="92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92"/>
      <c r="I769" s="5"/>
      <c r="J769" s="92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92"/>
      <c r="I770" s="5"/>
      <c r="J770" s="92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92"/>
      <c r="I771" s="5"/>
      <c r="J771" s="92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92"/>
      <c r="I772" s="5"/>
      <c r="J772" s="92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92"/>
      <c r="I773" s="5"/>
      <c r="J773" s="92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92"/>
      <c r="I774" s="5"/>
      <c r="J774" s="92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92"/>
      <c r="I775" s="5"/>
      <c r="J775" s="92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92"/>
      <c r="I776" s="5"/>
      <c r="J776" s="92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92"/>
      <c r="I777" s="5"/>
      <c r="J777" s="92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92"/>
      <c r="I778" s="5"/>
      <c r="J778" s="92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92"/>
      <c r="I779" s="5"/>
      <c r="J779" s="92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92"/>
      <c r="I780" s="5"/>
      <c r="J780" s="92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92"/>
      <c r="I781" s="5"/>
      <c r="J781" s="92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92"/>
      <c r="I782" s="5"/>
      <c r="J782" s="92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92"/>
      <c r="I783" s="5"/>
      <c r="J783" s="92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92"/>
      <c r="I784" s="5"/>
      <c r="J784" s="92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92"/>
      <c r="I785" s="5"/>
      <c r="J785" s="92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92"/>
      <c r="I786" s="5"/>
      <c r="J786" s="92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92"/>
      <c r="I787" s="5"/>
      <c r="J787" s="92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92"/>
      <c r="I788" s="5"/>
      <c r="J788" s="92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92"/>
      <c r="I789" s="5"/>
      <c r="J789" s="92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92"/>
      <c r="I790" s="5"/>
      <c r="J790" s="92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92"/>
      <c r="I791" s="5"/>
      <c r="J791" s="92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92"/>
      <c r="I792" s="5"/>
      <c r="J792" s="92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92"/>
      <c r="I793" s="5"/>
      <c r="J793" s="92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92"/>
      <c r="I794" s="5"/>
      <c r="J794" s="92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92"/>
      <c r="I795" s="5"/>
      <c r="J795" s="92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92"/>
      <c r="I796" s="5"/>
      <c r="J796" s="92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92"/>
      <c r="I797" s="5"/>
      <c r="J797" s="92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92"/>
      <c r="I798" s="5"/>
      <c r="J798" s="92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92"/>
      <c r="I799" s="5"/>
      <c r="J799" s="92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92"/>
      <c r="I800" s="5"/>
      <c r="J800" s="92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92"/>
      <c r="I801" s="5"/>
      <c r="J801" s="92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92"/>
      <c r="I802" s="5"/>
      <c r="J802" s="92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92"/>
      <c r="I803" s="5"/>
      <c r="J803" s="92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92"/>
      <c r="I804" s="5"/>
      <c r="J804" s="92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92"/>
      <c r="I805" s="5"/>
      <c r="J805" s="92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92"/>
      <c r="I806" s="5"/>
      <c r="J806" s="92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92"/>
      <c r="I807" s="5"/>
      <c r="J807" s="92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92"/>
      <c r="I808" s="5"/>
      <c r="J808" s="92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92"/>
      <c r="I809" s="5"/>
      <c r="J809" s="92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92"/>
      <c r="I810" s="5"/>
      <c r="J810" s="92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92"/>
      <c r="I811" s="5"/>
      <c r="J811" s="92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92"/>
      <c r="I812" s="5"/>
      <c r="J812" s="92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92"/>
      <c r="I813" s="5"/>
      <c r="J813" s="92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92"/>
      <c r="I814" s="5"/>
      <c r="J814" s="92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92"/>
      <c r="I815" s="5"/>
      <c r="J815" s="92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92"/>
      <c r="I816" s="5"/>
      <c r="J816" s="92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92"/>
      <c r="I817" s="5"/>
      <c r="J817" s="92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92"/>
      <c r="I818" s="5"/>
      <c r="J818" s="92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92"/>
      <c r="I819" s="5"/>
      <c r="J819" s="92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92"/>
      <c r="I820" s="5"/>
      <c r="J820" s="92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92"/>
      <c r="I821" s="5"/>
      <c r="J821" s="92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92"/>
      <c r="I822" s="5"/>
      <c r="J822" s="92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92"/>
      <c r="I823" s="5"/>
      <c r="J823" s="92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92"/>
      <c r="I824" s="5"/>
      <c r="J824" s="92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92"/>
      <c r="I825" s="5"/>
      <c r="J825" s="92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92"/>
      <c r="I826" s="5"/>
      <c r="J826" s="92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92"/>
      <c r="I827" s="5"/>
      <c r="J827" s="92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92"/>
      <c r="I828" s="5"/>
      <c r="J828" s="92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92"/>
      <c r="I829" s="5"/>
      <c r="J829" s="92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92"/>
      <c r="I830" s="5"/>
      <c r="J830" s="92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92"/>
      <c r="I831" s="5"/>
      <c r="J831" s="92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92"/>
      <c r="I832" s="5"/>
      <c r="J832" s="92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92"/>
      <c r="I833" s="5"/>
      <c r="J833" s="92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92"/>
      <c r="I834" s="5"/>
      <c r="J834" s="92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92"/>
      <c r="I835" s="5"/>
      <c r="J835" s="92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92"/>
      <c r="I836" s="5"/>
      <c r="J836" s="92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92"/>
      <c r="I837" s="5"/>
      <c r="J837" s="92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92"/>
      <c r="I838" s="5"/>
      <c r="J838" s="92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92"/>
      <c r="I839" s="5"/>
      <c r="J839" s="92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92"/>
      <c r="I840" s="5"/>
      <c r="J840" s="92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92"/>
      <c r="I841" s="5"/>
      <c r="J841" s="92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92"/>
      <c r="I842" s="5"/>
      <c r="J842" s="92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92"/>
      <c r="I843" s="5"/>
      <c r="J843" s="92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92"/>
      <c r="I844" s="5"/>
      <c r="J844" s="92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92"/>
      <c r="I845" s="5"/>
      <c r="J845" s="92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92"/>
      <c r="I846" s="5"/>
      <c r="J846" s="92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92"/>
      <c r="I847" s="5"/>
      <c r="J847" s="92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92"/>
      <c r="I848" s="5"/>
      <c r="J848" s="92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92"/>
      <c r="I849" s="5"/>
      <c r="J849" s="92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92"/>
      <c r="I850" s="5"/>
      <c r="J850" s="92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92"/>
      <c r="I851" s="5"/>
      <c r="J851" s="92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92"/>
      <c r="I852" s="5"/>
      <c r="J852" s="92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92"/>
      <c r="I853" s="5"/>
      <c r="J853" s="92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92"/>
      <c r="I854" s="5"/>
      <c r="J854" s="92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92"/>
      <c r="I855" s="5"/>
      <c r="J855" s="92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92"/>
      <c r="I856" s="5"/>
      <c r="J856" s="92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92"/>
      <c r="I857" s="5"/>
      <c r="J857" s="92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92"/>
      <c r="I858" s="5"/>
      <c r="J858" s="92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92"/>
      <c r="I859" s="5"/>
      <c r="J859" s="92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92"/>
      <c r="I860" s="5"/>
      <c r="J860" s="92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92"/>
      <c r="I861" s="5"/>
      <c r="J861" s="92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92"/>
      <c r="I862" s="5"/>
      <c r="J862" s="92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92"/>
      <c r="I863" s="5"/>
      <c r="J863" s="92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92"/>
      <c r="I864" s="5"/>
      <c r="J864" s="92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92"/>
      <c r="I865" s="5"/>
      <c r="J865" s="92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92"/>
      <c r="I866" s="5"/>
      <c r="J866" s="92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92"/>
      <c r="I867" s="5"/>
      <c r="J867" s="92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92"/>
      <c r="I868" s="5"/>
      <c r="J868" s="92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92"/>
      <c r="I869" s="5"/>
      <c r="J869" s="92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92"/>
      <c r="I870" s="5"/>
      <c r="J870" s="92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92"/>
      <c r="I871" s="5"/>
      <c r="J871" s="92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92"/>
      <c r="I872" s="5"/>
      <c r="J872" s="92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92"/>
      <c r="I873" s="5"/>
      <c r="J873" s="92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92"/>
      <c r="I874" s="5"/>
      <c r="J874" s="92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92"/>
      <c r="I875" s="5"/>
      <c r="J875" s="92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92"/>
      <c r="I876" s="5"/>
      <c r="J876" s="92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92"/>
      <c r="I877" s="5"/>
      <c r="J877" s="92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92"/>
      <c r="I878" s="5"/>
      <c r="J878" s="92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92"/>
      <c r="I879" s="5"/>
      <c r="J879" s="92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92"/>
      <c r="I880" s="5"/>
      <c r="J880" s="92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92"/>
      <c r="I881" s="5"/>
      <c r="J881" s="92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92"/>
      <c r="I882" s="5"/>
      <c r="J882" s="92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92"/>
      <c r="I883" s="5"/>
      <c r="J883" s="92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92"/>
      <c r="I884" s="5"/>
      <c r="J884" s="92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92"/>
      <c r="I885" s="5"/>
      <c r="J885" s="92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92"/>
      <c r="I886" s="5"/>
      <c r="J886" s="92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92"/>
      <c r="I887" s="5"/>
      <c r="J887" s="92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92"/>
      <c r="I888" s="5"/>
      <c r="J888" s="92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92"/>
      <c r="I889" s="5"/>
      <c r="J889" s="92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92"/>
      <c r="I890" s="5"/>
      <c r="J890" s="92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92"/>
      <c r="I891" s="5"/>
      <c r="J891" s="92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92"/>
      <c r="I892" s="5"/>
      <c r="J892" s="92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92"/>
      <c r="I893" s="5"/>
      <c r="J893" s="92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92"/>
      <c r="I894" s="5"/>
      <c r="J894" s="92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92"/>
      <c r="I895" s="5"/>
      <c r="J895" s="92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92"/>
      <c r="I896" s="5"/>
      <c r="J896" s="92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92"/>
      <c r="I897" s="5"/>
      <c r="J897" s="92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92"/>
      <c r="I898" s="5"/>
      <c r="J898" s="92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92"/>
      <c r="I899" s="5"/>
      <c r="J899" s="92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92"/>
      <c r="I900" s="5"/>
      <c r="J900" s="92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92"/>
      <c r="I901" s="5"/>
      <c r="J901" s="92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92"/>
      <c r="I902" s="5"/>
      <c r="J902" s="92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92"/>
      <c r="I903" s="5"/>
      <c r="J903" s="92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92"/>
      <c r="I904" s="5"/>
      <c r="J904" s="92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92"/>
      <c r="I905" s="5"/>
      <c r="J905" s="92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92"/>
      <c r="I906" s="5"/>
      <c r="J906" s="92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92"/>
      <c r="I907" s="5"/>
      <c r="J907" s="92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92"/>
      <c r="I908" s="5"/>
      <c r="J908" s="92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92"/>
      <c r="I909" s="5"/>
      <c r="J909" s="92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92"/>
      <c r="I910" s="5"/>
      <c r="J910" s="92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92"/>
      <c r="I911" s="5"/>
      <c r="J911" s="92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92"/>
      <c r="I912" s="5"/>
      <c r="J912" s="92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92"/>
      <c r="I913" s="5"/>
      <c r="J913" s="92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92"/>
      <c r="I914" s="5"/>
      <c r="J914" s="92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92"/>
      <c r="I915" s="5"/>
      <c r="J915" s="92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92"/>
      <c r="I916" s="5"/>
      <c r="J916" s="92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92"/>
      <c r="I917" s="5"/>
      <c r="J917" s="92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92"/>
      <c r="I918" s="5"/>
      <c r="J918" s="92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92"/>
      <c r="I919" s="5"/>
      <c r="J919" s="92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92"/>
      <c r="I920" s="5"/>
      <c r="J920" s="92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92"/>
      <c r="I921" s="5"/>
      <c r="J921" s="92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92"/>
      <c r="I922" s="5"/>
      <c r="J922" s="92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92"/>
      <c r="I923" s="5"/>
      <c r="J923" s="92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92"/>
      <c r="I924" s="5"/>
      <c r="J924" s="92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92"/>
      <c r="I925" s="5"/>
      <c r="J925" s="92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92"/>
      <c r="I926" s="5"/>
      <c r="J926" s="92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92"/>
      <c r="I927" s="5"/>
      <c r="J927" s="92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92"/>
      <c r="I928" s="5"/>
      <c r="J928" s="92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92"/>
      <c r="I929" s="5"/>
      <c r="J929" s="92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92"/>
      <c r="I930" s="5"/>
      <c r="J930" s="92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92"/>
      <c r="I931" s="5"/>
      <c r="J931" s="92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92"/>
      <c r="I932" s="5"/>
      <c r="J932" s="92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92"/>
      <c r="I933" s="5"/>
      <c r="J933" s="92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92"/>
      <c r="I934" s="5"/>
      <c r="J934" s="92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92"/>
      <c r="I935" s="5"/>
      <c r="J935" s="92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92"/>
      <c r="I936" s="5"/>
      <c r="J936" s="92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92"/>
      <c r="I937" s="5"/>
      <c r="J937" s="92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92"/>
      <c r="I938" s="5"/>
      <c r="J938" s="92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92"/>
      <c r="I939" s="5"/>
      <c r="J939" s="92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92"/>
      <c r="I940" s="5"/>
      <c r="J940" s="92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92"/>
      <c r="I941" s="5"/>
      <c r="J941" s="92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92"/>
      <c r="I942" s="5"/>
      <c r="J942" s="92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92"/>
      <c r="I943" s="5"/>
      <c r="J943" s="92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92"/>
      <c r="I944" s="5"/>
      <c r="J944" s="92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92"/>
      <c r="I945" s="5"/>
      <c r="J945" s="92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92"/>
      <c r="I946" s="5"/>
      <c r="J946" s="92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92"/>
      <c r="I947" s="5"/>
      <c r="J947" s="92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92"/>
      <c r="I948" s="5"/>
      <c r="J948" s="92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92"/>
      <c r="I949" s="5"/>
      <c r="J949" s="92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92"/>
      <c r="I950" s="5"/>
      <c r="J950" s="92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92"/>
      <c r="I951" s="5"/>
      <c r="J951" s="92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92"/>
      <c r="I952" s="5"/>
      <c r="J952" s="92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92"/>
      <c r="I953" s="5"/>
      <c r="J953" s="92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92"/>
      <c r="I954" s="5"/>
      <c r="J954" s="92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92"/>
      <c r="I955" s="5"/>
      <c r="J955" s="92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92"/>
      <c r="I956" s="5"/>
      <c r="J956" s="92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92"/>
      <c r="I957" s="5"/>
      <c r="J957" s="92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92"/>
      <c r="I958" s="5"/>
      <c r="J958" s="92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92"/>
      <c r="I959" s="5"/>
      <c r="J959" s="92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92"/>
      <c r="I960" s="5"/>
      <c r="J960" s="92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92"/>
      <c r="I961" s="5"/>
      <c r="J961" s="92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92"/>
      <c r="I962" s="5"/>
      <c r="J962" s="92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92"/>
      <c r="I963" s="5"/>
      <c r="J963" s="92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92"/>
      <c r="I964" s="5"/>
      <c r="J964" s="92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92"/>
      <c r="I965" s="5"/>
      <c r="J965" s="92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92"/>
      <c r="I966" s="5"/>
      <c r="J966" s="92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92"/>
      <c r="I967" s="5"/>
      <c r="J967" s="92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92"/>
      <c r="I968" s="5"/>
      <c r="J968" s="92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92"/>
      <c r="I969" s="5"/>
      <c r="J969" s="92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92"/>
      <c r="I970" s="5"/>
      <c r="J970" s="92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92"/>
      <c r="I971" s="5"/>
      <c r="J971" s="92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92"/>
      <c r="I972" s="5"/>
      <c r="J972" s="92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92"/>
      <c r="I973" s="5"/>
      <c r="J973" s="92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92"/>
      <c r="I974" s="5"/>
      <c r="J974" s="92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92"/>
      <c r="I975" s="5"/>
      <c r="J975" s="92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92"/>
      <c r="I976" s="5"/>
      <c r="J976" s="92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92"/>
      <c r="I977" s="5"/>
      <c r="J977" s="92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92"/>
      <c r="I978" s="5"/>
      <c r="J978" s="92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92"/>
      <c r="I979" s="5"/>
      <c r="J979" s="92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92"/>
      <c r="I980" s="5"/>
      <c r="J980" s="92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92"/>
      <c r="I981" s="5"/>
      <c r="J981" s="92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92"/>
      <c r="I982" s="5"/>
      <c r="J982" s="92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92"/>
      <c r="I983" s="5"/>
      <c r="J983" s="92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92"/>
      <c r="I984" s="5"/>
      <c r="J984" s="92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92"/>
      <c r="I985" s="5"/>
      <c r="J985" s="92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92"/>
      <c r="I986" s="5"/>
      <c r="J986" s="92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92"/>
      <c r="I987" s="5"/>
      <c r="J987" s="92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92"/>
      <c r="I988" s="5"/>
      <c r="J988" s="92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92"/>
      <c r="I989" s="5"/>
      <c r="J989" s="92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92"/>
      <c r="I990" s="5"/>
      <c r="J990" s="92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92"/>
      <c r="I991" s="5"/>
      <c r="J991" s="92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92"/>
      <c r="I992" s="5"/>
      <c r="J992" s="92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92"/>
      <c r="I993" s="5"/>
      <c r="J993" s="92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92"/>
      <c r="I994" s="5"/>
      <c r="J994" s="92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92"/>
      <c r="I995" s="5"/>
      <c r="J995" s="92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92"/>
      <c r="I996" s="5"/>
      <c r="J996" s="92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92"/>
      <c r="I997" s="5"/>
      <c r="J997" s="92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92"/>
      <c r="I998" s="5"/>
      <c r="J998" s="92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92"/>
      <c r="I999" s="5"/>
      <c r="J999" s="92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92"/>
      <c r="I1000" s="5"/>
      <c r="J1000" s="92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92"/>
      <c r="I1001" s="5"/>
      <c r="J1001" s="92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92"/>
      <c r="I1002" s="5"/>
      <c r="J1002" s="92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5"/>
      <c r="E1003" s="5"/>
      <c r="F1003" s="5"/>
      <c r="G1003" s="5"/>
      <c r="H1003" s="92"/>
      <c r="I1003" s="5"/>
      <c r="J1003" s="92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5"/>
      <c r="C1004" s="5"/>
      <c r="D1004" s="5"/>
      <c r="E1004" s="5"/>
      <c r="F1004" s="5"/>
      <c r="G1004" s="5"/>
      <c r="H1004" s="92"/>
      <c r="I1004" s="5"/>
      <c r="J1004" s="92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/>
      <c r="B1005" s="5"/>
      <c r="C1005" s="5"/>
      <c r="D1005" s="5"/>
      <c r="E1005" s="5"/>
      <c r="F1005" s="5"/>
      <c r="G1005" s="5"/>
      <c r="H1005" s="92"/>
      <c r="I1005" s="5"/>
      <c r="J1005" s="92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5"/>
      <c r="B1006" s="5"/>
      <c r="C1006" s="5"/>
      <c r="D1006" s="5"/>
      <c r="E1006" s="5"/>
      <c r="F1006" s="5"/>
      <c r="G1006" s="5"/>
      <c r="H1006" s="92"/>
      <c r="I1006" s="5"/>
      <c r="J1006" s="92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5"/>
      <c r="B1007" s="5"/>
      <c r="C1007" s="5"/>
      <c r="D1007" s="5"/>
      <c r="E1007" s="5"/>
      <c r="F1007" s="5"/>
      <c r="G1007" s="5"/>
      <c r="H1007" s="92"/>
      <c r="I1007" s="5"/>
      <c r="J1007" s="92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5"/>
      <c r="B1008" s="5"/>
      <c r="C1008" s="5"/>
      <c r="D1008" s="5"/>
      <c r="E1008" s="5"/>
      <c r="F1008" s="5"/>
      <c r="G1008" s="5"/>
      <c r="H1008" s="92"/>
      <c r="I1008" s="5"/>
      <c r="J1008" s="92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5"/>
      <c r="B1009" s="5"/>
      <c r="C1009" s="5"/>
      <c r="D1009" s="5"/>
      <c r="E1009" s="5"/>
      <c r="F1009" s="5"/>
      <c r="G1009" s="5"/>
      <c r="H1009" s="92"/>
      <c r="I1009" s="5"/>
      <c r="J1009" s="92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>
      <c r="A1010" s="5"/>
      <c r="B1010" s="5"/>
      <c r="C1010" s="5"/>
      <c r="D1010" s="5"/>
      <c r="E1010" s="5"/>
      <c r="F1010" s="5"/>
      <c r="G1010" s="5"/>
      <c r="H1010" s="92"/>
      <c r="I1010" s="5"/>
      <c r="J1010" s="92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>
      <c r="A1011" s="5"/>
      <c r="B1011" s="5"/>
      <c r="C1011" s="5"/>
      <c r="D1011" s="5"/>
      <c r="E1011" s="5"/>
      <c r="F1011" s="5"/>
      <c r="G1011" s="5"/>
      <c r="H1011" s="92"/>
      <c r="I1011" s="5"/>
      <c r="J1011" s="92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>
      <c r="A1012" s="5"/>
      <c r="B1012" s="5"/>
      <c r="C1012" s="5"/>
      <c r="D1012" s="5"/>
      <c r="E1012" s="5"/>
      <c r="F1012" s="5"/>
      <c r="G1012" s="5"/>
      <c r="H1012" s="92"/>
      <c r="I1012" s="5"/>
      <c r="J1012" s="92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>
      <c r="A1013" s="5"/>
      <c r="B1013" s="5"/>
      <c r="C1013" s="5"/>
      <c r="D1013" s="5"/>
      <c r="E1013" s="5"/>
      <c r="F1013" s="5"/>
      <c r="G1013" s="5"/>
      <c r="H1013" s="92"/>
      <c r="I1013" s="5"/>
      <c r="J1013" s="92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>
      <c r="A1014" s="5"/>
      <c r="B1014" s="5"/>
      <c r="C1014" s="5"/>
      <c r="D1014" s="5"/>
      <c r="E1014" s="5"/>
      <c r="F1014" s="5"/>
      <c r="G1014" s="5"/>
      <c r="H1014" s="92"/>
      <c r="I1014" s="5"/>
      <c r="J1014" s="92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>
      <c r="A1015" s="5"/>
      <c r="B1015" s="5"/>
      <c r="C1015" s="5"/>
      <c r="D1015" s="5"/>
      <c r="E1015" s="5"/>
      <c r="F1015" s="5"/>
      <c r="G1015" s="5"/>
      <c r="H1015" s="92"/>
      <c r="I1015" s="5"/>
      <c r="J1015" s="92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>
      <c r="A1016" s="5"/>
      <c r="B1016" s="5"/>
      <c r="C1016" s="5"/>
      <c r="D1016" s="5"/>
      <c r="E1016" s="5"/>
      <c r="F1016" s="5"/>
      <c r="G1016" s="5"/>
      <c r="H1016" s="92"/>
      <c r="I1016" s="5"/>
      <c r="J1016" s="92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>
      <c r="A1017" s="5"/>
      <c r="B1017" s="5"/>
      <c r="C1017" s="5"/>
      <c r="D1017" s="5"/>
      <c r="E1017" s="5"/>
      <c r="F1017" s="5"/>
      <c r="G1017" s="5"/>
      <c r="H1017" s="92"/>
      <c r="I1017" s="5"/>
      <c r="J1017" s="92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>
      <c r="A1018" s="5"/>
      <c r="B1018" s="5"/>
      <c r="C1018" s="5"/>
      <c r="D1018" s="5"/>
      <c r="E1018" s="5"/>
      <c r="F1018" s="5"/>
      <c r="G1018" s="5"/>
      <c r="H1018" s="92"/>
      <c r="I1018" s="5"/>
      <c r="J1018" s="92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>
      <c r="A1019" s="5"/>
      <c r="B1019" s="5"/>
      <c r="C1019" s="5"/>
      <c r="D1019" s="5"/>
      <c r="E1019" s="5"/>
      <c r="F1019" s="5"/>
      <c r="G1019" s="5"/>
      <c r="H1019" s="92"/>
      <c r="I1019" s="5"/>
      <c r="J1019" s="92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>
      <c r="A1020" s="5"/>
      <c r="B1020" s="5"/>
      <c r="C1020" s="5"/>
      <c r="D1020" s="5"/>
      <c r="E1020" s="5"/>
      <c r="F1020" s="5"/>
      <c r="G1020" s="5"/>
      <c r="H1020" s="92"/>
      <c r="I1020" s="5"/>
      <c r="J1020" s="92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>
      <c r="A1021" s="5"/>
      <c r="B1021" s="5"/>
      <c r="C1021" s="5"/>
      <c r="D1021" s="5"/>
      <c r="E1021" s="5"/>
      <c r="F1021" s="5"/>
      <c r="G1021" s="5"/>
      <c r="H1021" s="92"/>
      <c r="I1021" s="5"/>
      <c r="J1021" s="92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>
      <c r="A1022" s="5"/>
      <c r="B1022" s="5"/>
      <c r="C1022" s="5"/>
      <c r="D1022" s="5"/>
      <c r="E1022" s="5"/>
      <c r="F1022" s="5"/>
      <c r="G1022" s="5"/>
      <c r="H1022" s="92"/>
      <c r="I1022" s="5"/>
      <c r="J1022" s="92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>
      <c r="A1023" s="5"/>
      <c r="B1023" s="5"/>
      <c r="C1023" s="5"/>
      <c r="D1023" s="5"/>
      <c r="E1023" s="5"/>
      <c r="F1023" s="5"/>
      <c r="G1023" s="5"/>
      <c r="H1023" s="92"/>
      <c r="I1023" s="5"/>
      <c r="J1023" s="92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>
      <c r="A1024" s="5"/>
      <c r="B1024" s="5"/>
      <c r="C1024" s="5"/>
      <c r="D1024" s="5"/>
      <c r="E1024" s="5"/>
      <c r="F1024" s="5"/>
      <c r="G1024" s="5"/>
      <c r="H1024" s="92"/>
      <c r="I1024" s="5"/>
      <c r="J1024" s="92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>
      <c r="A1025" s="5"/>
      <c r="B1025" s="5"/>
      <c r="C1025" s="5"/>
      <c r="D1025" s="5"/>
      <c r="E1025" s="5"/>
      <c r="F1025" s="5"/>
      <c r="G1025" s="5"/>
      <c r="H1025" s="92"/>
      <c r="I1025" s="5"/>
      <c r="J1025" s="92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>
      <c r="A1026" s="5"/>
      <c r="B1026" s="5"/>
      <c r="C1026" s="5"/>
      <c r="D1026" s="5"/>
      <c r="E1026" s="5"/>
      <c r="F1026" s="5"/>
      <c r="G1026" s="5"/>
      <c r="H1026" s="92"/>
      <c r="I1026" s="5"/>
      <c r="J1026" s="92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>
      <c r="A1027" s="5"/>
      <c r="B1027" s="5"/>
      <c r="C1027" s="5"/>
      <c r="D1027" s="5"/>
      <c r="E1027" s="5"/>
      <c r="F1027" s="5"/>
      <c r="G1027" s="5"/>
      <c r="H1027" s="92"/>
      <c r="I1027" s="5"/>
      <c r="J1027" s="92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>
      <c r="A1028" s="5"/>
      <c r="B1028" s="5"/>
      <c r="C1028" s="5"/>
      <c r="D1028" s="5"/>
      <c r="E1028" s="5"/>
      <c r="F1028" s="5"/>
      <c r="G1028" s="5"/>
      <c r="H1028" s="92"/>
      <c r="I1028" s="5"/>
      <c r="J1028" s="92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>
      <c r="A1029" s="5"/>
      <c r="B1029" s="5"/>
      <c r="C1029" s="5"/>
      <c r="D1029" s="5"/>
      <c r="E1029" s="5"/>
      <c r="F1029" s="5"/>
      <c r="G1029" s="5"/>
      <c r="H1029" s="92"/>
      <c r="I1029" s="5"/>
      <c r="J1029" s="92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>
      <c r="A1030" s="5"/>
      <c r="B1030" s="5"/>
      <c r="C1030" s="5"/>
      <c r="D1030" s="5"/>
      <c r="E1030" s="5"/>
      <c r="F1030" s="5"/>
      <c r="G1030" s="5"/>
      <c r="H1030" s="92"/>
      <c r="I1030" s="5"/>
      <c r="J1030" s="92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>
      <c r="A1031" s="5"/>
      <c r="B1031" s="5"/>
      <c r="C1031" s="5"/>
      <c r="D1031" s="5"/>
      <c r="E1031" s="5"/>
      <c r="F1031" s="5"/>
      <c r="G1031" s="5"/>
      <c r="H1031" s="92"/>
      <c r="I1031" s="5"/>
      <c r="J1031" s="92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>
      <c r="A1032" s="5"/>
      <c r="B1032" s="5"/>
      <c r="C1032" s="5"/>
      <c r="D1032" s="5"/>
      <c r="E1032" s="5"/>
      <c r="F1032" s="5"/>
      <c r="G1032" s="5"/>
      <c r="H1032" s="92"/>
      <c r="I1032" s="5"/>
      <c r="J1032" s="92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>
      <c r="A1033" s="5"/>
      <c r="B1033" s="5"/>
      <c r="C1033" s="5"/>
      <c r="D1033" s="5"/>
      <c r="E1033" s="5"/>
      <c r="F1033" s="5"/>
      <c r="G1033" s="5"/>
      <c r="H1033" s="92"/>
      <c r="I1033" s="5"/>
      <c r="J1033" s="92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>
      <c r="A1034" s="5"/>
      <c r="B1034" s="5"/>
      <c r="C1034" s="5"/>
      <c r="D1034" s="5"/>
      <c r="E1034" s="5"/>
      <c r="F1034" s="5"/>
      <c r="G1034" s="5"/>
      <c r="H1034" s="92"/>
      <c r="I1034" s="5"/>
      <c r="J1034" s="92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>
      <c r="A1035" s="5"/>
      <c r="B1035" s="5"/>
      <c r="C1035" s="5"/>
      <c r="D1035" s="5"/>
      <c r="E1035" s="5"/>
      <c r="F1035" s="5"/>
      <c r="G1035" s="5"/>
      <c r="H1035" s="92"/>
      <c r="I1035" s="5"/>
      <c r="J1035" s="92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>
      <c r="A1036" s="5"/>
      <c r="B1036" s="5"/>
      <c r="C1036" s="5"/>
      <c r="D1036" s="5"/>
      <c r="E1036" s="5"/>
      <c r="F1036" s="5"/>
      <c r="G1036" s="5"/>
      <c r="H1036" s="92"/>
      <c r="I1036" s="5"/>
      <c r="J1036" s="92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>
      <c r="A1037" s="5"/>
      <c r="B1037" s="5"/>
      <c r="C1037" s="5"/>
      <c r="D1037" s="5"/>
      <c r="E1037" s="5"/>
      <c r="F1037" s="5"/>
      <c r="G1037" s="5"/>
      <c r="H1037" s="92"/>
      <c r="I1037" s="5"/>
      <c r="J1037" s="92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>
      <c r="A1038" s="5"/>
      <c r="B1038" s="5"/>
      <c r="C1038" s="5"/>
      <c r="D1038" s="5"/>
      <c r="E1038" s="5"/>
      <c r="F1038" s="5"/>
      <c r="G1038" s="5"/>
      <c r="H1038" s="92"/>
      <c r="I1038" s="5"/>
      <c r="J1038" s="92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>
      <c r="A1039" s="5"/>
      <c r="B1039" s="5"/>
      <c r="C1039" s="5"/>
      <c r="D1039" s="5"/>
      <c r="E1039" s="5"/>
      <c r="F1039" s="5"/>
      <c r="G1039" s="5"/>
      <c r="H1039" s="92"/>
      <c r="I1039" s="5"/>
      <c r="J1039" s="92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  <row r="1040">
      <c r="A1040" s="5"/>
      <c r="B1040" s="5"/>
      <c r="C1040" s="5"/>
      <c r="D1040" s="5"/>
      <c r="E1040" s="5"/>
      <c r="F1040" s="5"/>
      <c r="G1040" s="5"/>
      <c r="H1040" s="92"/>
      <c r="I1040" s="5"/>
      <c r="J1040" s="92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</row>
    <row r="1041">
      <c r="A1041" s="5"/>
      <c r="B1041" s="5"/>
      <c r="C1041" s="5"/>
      <c r="D1041" s="5"/>
      <c r="E1041" s="5"/>
      <c r="F1041" s="5"/>
      <c r="G1041" s="5"/>
      <c r="H1041" s="92"/>
      <c r="I1041" s="5"/>
      <c r="J1041" s="92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  <row r="1042">
      <c r="A1042" s="5"/>
      <c r="B1042" s="5"/>
      <c r="C1042" s="5"/>
      <c r="D1042" s="5"/>
      <c r="E1042" s="5"/>
      <c r="F1042" s="5"/>
      <c r="G1042" s="5"/>
      <c r="H1042" s="92"/>
      <c r="I1042" s="5"/>
      <c r="J1042" s="92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  <row r="1043">
      <c r="A1043" s="5"/>
      <c r="B1043" s="5"/>
      <c r="C1043" s="5"/>
      <c r="D1043" s="5"/>
      <c r="E1043" s="5"/>
      <c r="F1043" s="5"/>
      <c r="G1043" s="5"/>
      <c r="H1043" s="92"/>
      <c r="I1043" s="5"/>
      <c r="J1043" s="92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</row>
    <row r="1044">
      <c r="A1044" s="5"/>
      <c r="B1044" s="5"/>
      <c r="C1044" s="5"/>
      <c r="D1044" s="5"/>
      <c r="E1044" s="5"/>
      <c r="F1044" s="5"/>
      <c r="G1044" s="5"/>
      <c r="H1044" s="92"/>
      <c r="I1044" s="5"/>
      <c r="J1044" s="92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</row>
    <row r="1045">
      <c r="A1045" s="5"/>
      <c r="B1045" s="5"/>
      <c r="C1045" s="5"/>
      <c r="D1045" s="5"/>
      <c r="E1045" s="5"/>
      <c r="F1045" s="5"/>
      <c r="G1045" s="5"/>
      <c r="H1045" s="92"/>
      <c r="I1045" s="5"/>
      <c r="J1045" s="92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</row>
    <row r="1046">
      <c r="A1046" s="5"/>
      <c r="B1046" s="5"/>
      <c r="C1046" s="5"/>
      <c r="D1046" s="5"/>
      <c r="E1046" s="5"/>
      <c r="F1046" s="5"/>
      <c r="G1046" s="5"/>
      <c r="H1046" s="92"/>
      <c r="I1046" s="5"/>
      <c r="J1046" s="92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</row>
    <row r="1047">
      <c r="A1047" s="5"/>
      <c r="B1047" s="5"/>
      <c r="C1047" s="5"/>
      <c r="D1047" s="5"/>
      <c r="E1047" s="5"/>
      <c r="F1047" s="5"/>
      <c r="G1047" s="5"/>
      <c r="H1047" s="92"/>
      <c r="I1047" s="5"/>
      <c r="J1047" s="92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</row>
    <row r="1048">
      <c r="A1048" s="5"/>
      <c r="B1048" s="5"/>
      <c r="C1048" s="5"/>
      <c r="D1048" s="5"/>
      <c r="E1048" s="5"/>
      <c r="F1048" s="5"/>
      <c r="G1048" s="5"/>
      <c r="H1048" s="92"/>
      <c r="I1048" s="5"/>
      <c r="J1048" s="92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</row>
    <row r="1049">
      <c r="A1049" s="5"/>
      <c r="B1049" s="5"/>
      <c r="C1049" s="5"/>
      <c r="D1049" s="5"/>
      <c r="E1049" s="5"/>
      <c r="F1049" s="5"/>
      <c r="G1049" s="5"/>
      <c r="H1049" s="92"/>
      <c r="I1049" s="5"/>
      <c r="J1049" s="92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</row>
    <row r="1050">
      <c r="A1050" s="5"/>
      <c r="B1050" s="5"/>
      <c r="C1050" s="5"/>
      <c r="D1050" s="5"/>
      <c r="E1050" s="5"/>
      <c r="F1050" s="5"/>
      <c r="G1050" s="5"/>
      <c r="H1050" s="92"/>
      <c r="I1050" s="5"/>
      <c r="J1050" s="92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</row>
    <row r="1051">
      <c r="A1051" s="5"/>
      <c r="B1051" s="5"/>
      <c r="C1051" s="5"/>
      <c r="D1051" s="5"/>
      <c r="E1051" s="5"/>
      <c r="F1051" s="5"/>
      <c r="G1051" s="5"/>
      <c r="H1051" s="92"/>
      <c r="I1051" s="5"/>
      <c r="J1051" s="92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</row>
    <row r="1052">
      <c r="A1052" s="5"/>
      <c r="B1052" s="5"/>
      <c r="C1052" s="5"/>
      <c r="D1052" s="5"/>
      <c r="E1052" s="5"/>
      <c r="F1052" s="5"/>
      <c r="G1052" s="5"/>
      <c r="H1052" s="92"/>
      <c r="I1052" s="5"/>
      <c r="J1052" s="92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</row>
    <row r="1053">
      <c r="A1053" s="5"/>
      <c r="B1053" s="5"/>
      <c r="C1053" s="5"/>
      <c r="D1053" s="5"/>
      <c r="E1053" s="5"/>
      <c r="F1053" s="5"/>
      <c r="G1053" s="5"/>
      <c r="H1053" s="92"/>
      <c r="I1053" s="5"/>
      <c r="J1053" s="92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</row>
    <row r="1054">
      <c r="A1054" s="5"/>
      <c r="B1054" s="5"/>
      <c r="C1054" s="5"/>
      <c r="D1054" s="5"/>
      <c r="E1054" s="5"/>
      <c r="F1054" s="5"/>
      <c r="G1054" s="5"/>
      <c r="H1054" s="92"/>
      <c r="I1054" s="5"/>
      <c r="J1054" s="92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</row>
    <row r="1055">
      <c r="A1055" s="5"/>
      <c r="B1055" s="5"/>
      <c r="C1055" s="5"/>
      <c r="D1055" s="5"/>
      <c r="E1055" s="5"/>
      <c r="F1055" s="5"/>
      <c r="G1055" s="5"/>
      <c r="H1055" s="92"/>
      <c r="I1055" s="5"/>
      <c r="J1055" s="92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</row>
    <row r="1056">
      <c r="A1056" s="5"/>
      <c r="B1056" s="5"/>
      <c r="C1056" s="5"/>
      <c r="D1056" s="5"/>
      <c r="E1056" s="5"/>
      <c r="F1056" s="5"/>
      <c r="G1056" s="5"/>
      <c r="H1056" s="92"/>
      <c r="I1056" s="5"/>
      <c r="J1056" s="92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</row>
    <row r="1057">
      <c r="A1057" s="5"/>
      <c r="B1057" s="5"/>
      <c r="C1057" s="5"/>
      <c r="D1057" s="5"/>
      <c r="E1057" s="5"/>
      <c r="F1057" s="5"/>
      <c r="G1057" s="5"/>
      <c r="H1057" s="92"/>
      <c r="I1057" s="5"/>
      <c r="J1057" s="92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</row>
    <row r="1058">
      <c r="A1058" s="5"/>
      <c r="B1058" s="5"/>
      <c r="C1058" s="5"/>
      <c r="D1058" s="5"/>
      <c r="E1058" s="5"/>
      <c r="F1058" s="5"/>
      <c r="G1058" s="5"/>
      <c r="H1058" s="92"/>
      <c r="I1058" s="5"/>
      <c r="J1058" s="92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</row>
    <row r="1059">
      <c r="A1059" s="5"/>
      <c r="B1059" s="5"/>
      <c r="C1059" s="5"/>
      <c r="D1059" s="5"/>
      <c r="E1059" s="5"/>
      <c r="F1059" s="5"/>
      <c r="G1059" s="5"/>
      <c r="H1059" s="92"/>
      <c r="I1059" s="5"/>
      <c r="J1059" s="92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</row>
  </sheetData>
  <mergeCells count="77">
    <mergeCell ref="A66:A79"/>
    <mergeCell ref="A82:A95"/>
    <mergeCell ref="A97:A107"/>
    <mergeCell ref="A110:A120"/>
    <mergeCell ref="A122:A132"/>
    <mergeCell ref="A134:A144"/>
    <mergeCell ref="A149:A153"/>
    <mergeCell ref="A284:A297"/>
    <mergeCell ref="A303:A315"/>
    <mergeCell ref="A319:A323"/>
    <mergeCell ref="A326:A339"/>
    <mergeCell ref="A342:A354"/>
    <mergeCell ref="A360:A365"/>
    <mergeCell ref="A155:A168"/>
    <mergeCell ref="A171:A184"/>
    <mergeCell ref="A187:A200"/>
    <mergeCell ref="A205:A209"/>
    <mergeCell ref="A212:A225"/>
    <mergeCell ref="A231:A243"/>
    <mergeCell ref="A246:A257"/>
    <mergeCell ref="B225:F225"/>
    <mergeCell ref="B231:K231"/>
    <mergeCell ref="B243:F243"/>
    <mergeCell ref="B246:K246"/>
    <mergeCell ref="B257:F257"/>
    <mergeCell ref="B263:K263"/>
    <mergeCell ref="B277:K277"/>
    <mergeCell ref="B284:K284"/>
    <mergeCell ref="B274:F274"/>
    <mergeCell ref="B281:F281"/>
    <mergeCell ref="B297:F297"/>
    <mergeCell ref="B303:K303"/>
    <mergeCell ref="B319:K319"/>
    <mergeCell ref="B323:F323"/>
    <mergeCell ref="B326:K326"/>
    <mergeCell ref="A2:A15"/>
    <mergeCell ref="B2:K2"/>
    <mergeCell ref="B15:F15"/>
    <mergeCell ref="A18:A31"/>
    <mergeCell ref="B18:K18"/>
    <mergeCell ref="B31:F31"/>
    <mergeCell ref="B34:K34"/>
    <mergeCell ref="A34:A47"/>
    <mergeCell ref="B47:F47"/>
    <mergeCell ref="A50:A63"/>
    <mergeCell ref="B50:K50"/>
    <mergeCell ref="B63:F63"/>
    <mergeCell ref="B66:K66"/>
    <mergeCell ref="B82:K82"/>
    <mergeCell ref="B79:F79"/>
    <mergeCell ref="B95:F95"/>
    <mergeCell ref="B97:K97"/>
    <mergeCell ref="B107:F107"/>
    <mergeCell ref="B110:K110"/>
    <mergeCell ref="B120:F120"/>
    <mergeCell ref="B122:K122"/>
    <mergeCell ref="B132:F132"/>
    <mergeCell ref="B134:K134"/>
    <mergeCell ref="B144:F144"/>
    <mergeCell ref="B149:K149"/>
    <mergeCell ref="B153:F153"/>
    <mergeCell ref="B155:K155"/>
    <mergeCell ref="B171:K171"/>
    <mergeCell ref="B168:F168"/>
    <mergeCell ref="B184:F184"/>
    <mergeCell ref="B187:K187"/>
    <mergeCell ref="B200:F200"/>
    <mergeCell ref="B205:K205"/>
    <mergeCell ref="B209:F209"/>
    <mergeCell ref="B212:K212"/>
    <mergeCell ref="A263:A274"/>
    <mergeCell ref="A277:A281"/>
    <mergeCell ref="B339:F339"/>
    <mergeCell ref="B342:K342"/>
    <mergeCell ref="B354:F354"/>
    <mergeCell ref="B360:K360"/>
    <mergeCell ref="B365:F36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0.5"/>
    <col customWidth="1" min="6" max="6" width="17.38"/>
    <col customWidth="1" min="9" max="9" width="28.75"/>
    <col customWidth="1" min="11" max="11" width="36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12" t="s">
        <v>17</v>
      </c>
      <c r="B2" s="17" t="s">
        <v>17</v>
      </c>
      <c r="C2" s="13"/>
      <c r="D2" s="13"/>
      <c r="E2" s="13"/>
      <c r="F2" s="13"/>
      <c r="G2" s="13"/>
      <c r="H2" s="13"/>
      <c r="I2" s="13"/>
      <c r="J2" s="13"/>
      <c r="K2" s="18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</row>
    <row r="3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30" t="s">
        <v>7</v>
      </c>
      <c r="I3" s="27" t="s">
        <v>8</v>
      </c>
      <c r="J3" s="29" t="s">
        <v>9</v>
      </c>
      <c r="K3" s="27" t="s">
        <v>10</v>
      </c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</row>
    <row r="4">
      <c r="B4" s="33" t="s">
        <v>37</v>
      </c>
      <c r="C4" s="34" t="s">
        <v>37</v>
      </c>
      <c r="D4" s="40">
        <v>37613.0</v>
      </c>
      <c r="E4" s="35" t="s">
        <v>24</v>
      </c>
      <c r="F4" s="43" t="s">
        <v>44</v>
      </c>
      <c r="G4" s="33">
        <v>3.0</v>
      </c>
      <c r="H4" s="36" t="s">
        <v>49</v>
      </c>
      <c r="I4" s="48" t="s">
        <v>52</v>
      </c>
      <c r="J4" s="52" t="s">
        <v>57</v>
      </c>
      <c r="K4" s="55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</row>
    <row r="5">
      <c r="B5" s="33" t="s">
        <v>61</v>
      </c>
      <c r="C5" s="34" t="s">
        <v>62</v>
      </c>
      <c r="D5" s="57">
        <v>37605.0</v>
      </c>
      <c r="E5" s="35" t="s">
        <v>15</v>
      </c>
      <c r="F5" s="43" t="s">
        <v>44</v>
      </c>
      <c r="G5" s="33">
        <v>3.0</v>
      </c>
      <c r="H5" s="36" t="s">
        <v>49</v>
      </c>
      <c r="I5" s="62" t="s">
        <v>77</v>
      </c>
      <c r="J5" s="63" t="s">
        <v>78</v>
      </c>
      <c r="K5" s="55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</row>
    <row r="6">
      <c r="B6" s="33" t="s">
        <v>66</v>
      </c>
      <c r="C6" s="34" t="s">
        <v>68</v>
      </c>
      <c r="D6" s="72">
        <v>37603.0</v>
      </c>
      <c r="E6" s="35" t="s">
        <v>15</v>
      </c>
      <c r="F6" s="43" t="s">
        <v>100</v>
      </c>
      <c r="G6" s="33">
        <v>1.5</v>
      </c>
      <c r="H6" s="36" t="s">
        <v>49</v>
      </c>
      <c r="I6" s="62" t="s">
        <v>104</v>
      </c>
      <c r="J6" s="74" t="s">
        <v>105</v>
      </c>
      <c r="K6" s="55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</row>
    <row r="7">
      <c r="B7" s="33" t="s">
        <v>116</v>
      </c>
      <c r="C7" s="34" t="s">
        <v>117</v>
      </c>
      <c r="D7" s="35">
        <v>37611.0</v>
      </c>
      <c r="E7" s="35" t="s">
        <v>24</v>
      </c>
      <c r="F7" s="35" t="s">
        <v>121</v>
      </c>
      <c r="G7" s="33">
        <v>3.0</v>
      </c>
      <c r="H7" s="36" t="s">
        <v>49</v>
      </c>
      <c r="I7" s="62" t="s">
        <v>125</v>
      </c>
      <c r="J7" s="75" t="s">
        <v>127</v>
      </c>
      <c r="K7" s="55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</row>
    <row r="8">
      <c r="B8" s="33" t="s">
        <v>136</v>
      </c>
      <c r="C8" s="34" t="s">
        <v>137</v>
      </c>
      <c r="D8" s="57">
        <v>37607.0</v>
      </c>
      <c r="E8" s="35" t="s">
        <v>15</v>
      </c>
      <c r="F8" s="43" t="s">
        <v>48</v>
      </c>
      <c r="G8" s="33">
        <v>3.0</v>
      </c>
      <c r="H8" s="36" t="s">
        <v>49</v>
      </c>
      <c r="I8" s="78" t="s">
        <v>142</v>
      </c>
      <c r="J8" s="63" t="s">
        <v>146</v>
      </c>
      <c r="K8" s="55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>
      <c r="B9" s="33" t="s">
        <v>155</v>
      </c>
      <c r="C9" s="34" t="s">
        <v>156</v>
      </c>
      <c r="D9" s="40">
        <v>37609.0</v>
      </c>
      <c r="E9" s="35" t="s">
        <v>24</v>
      </c>
      <c r="F9" s="43" t="s">
        <v>160</v>
      </c>
      <c r="G9" s="33">
        <v>3.0</v>
      </c>
      <c r="H9" s="36" t="s">
        <v>49</v>
      </c>
      <c r="I9" s="82" t="s">
        <v>163</v>
      </c>
      <c r="J9" s="84"/>
      <c r="K9" s="55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</row>
    <row r="10">
      <c r="B10" s="33" t="s">
        <v>94</v>
      </c>
      <c r="C10" s="34" t="s">
        <v>95</v>
      </c>
      <c r="D10" s="57">
        <v>37598.0</v>
      </c>
      <c r="E10" s="35" t="s">
        <v>71</v>
      </c>
      <c r="F10" s="43" t="s">
        <v>171</v>
      </c>
      <c r="G10" s="33">
        <v>3.0</v>
      </c>
      <c r="H10" s="36" t="s">
        <v>49</v>
      </c>
      <c r="I10" s="62" t="s">
        <v>172</v>
      </c>
      <c r="J10" s="89"/>
      <c r="K10" s="55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</row>
    <row r="11">
      <c r="B11" s="33" t="s">
        <v>178</v>
      </c>
      <c r="C11" s="34" t="s">
        <v>179</v>
      </c>
      <c r="D11" s="40">
        <v>37601.0</v>
      </c>
      <c r="E11" s="35" t="s">
        <v>71</v>
      </c>
      <c r="F11" s="43" t="s">
        <v>85</v>
      </c>
      <c r="G11" s="33">
        <v>3.0</v>
      </c>
      <c r="H11" s="36" t="s">
        <v>49</v>
      </c>
      <c r="I11" s="93" t="s">
        <v>182</v>
      </c>
      <c r="J11" s="94" t="s">
        <v>184</v>
      </c>
      <c r="K11" s="55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</row>
    <row r="12">
      <c r="B12" s="33" t="s">
        <v>107</v>
      </c>
      <c r="C12" s="34" t="s">
        <v>108</v>
      </c>
      <c r="D12" s="72">
        <v>37596.0</v>
      </c>
      <c r="E12" s="35" t="s">
        <v>71</v>
      </c>
      <c r="F12" s="43" t="s">
        <v>189</v>
      </c>
      <c r="G12" s="33">
        <v>2.0</v>
      </c>
      <c r="H12" s="96" t="s">
        <v>111</v>
      </c>
      <c r="I12" s="97" t="s">
        <v>192</v>
      </c>
      <c r="J12" s="63" t="s">
        <v>194</v>
      </c>
      <c r="K12" s="55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</row>
    <row r="13">
      <c r="B13" s="86" t="s">
        <v>167</v>
      </c>
      <c r="C13" s="13"/>
      <c r="D13" s="13"/>
      <c r="E13" s="13"/>
      <c r="F13" s="18"/>
      <c r="G13" s="88">
        <f>SUM(G4:G12)</f>
        <v>24.5</v>
      </c>
      <c r="H13" s="21"/>
      <c r="I13" s="55"/>
      <c r="J13" s="99"/>
      <c r="K13" s="55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</row>
    <row r="14">
      <c r="A14" s="22"/>
      <c r="B14" s="22"/>
      <c r="C14" s="22"/>
      <c r="D14" s="22"/>
      <c r="E14" s="22"/>
      <c r="F14" s="22"/>
      <c r="G14" s="22"/>
      <c r="H14" s="22"/>
      <c r="I14" s="22"/>
      <c r="J14" s="101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</row>
    <row r="15">
      <c r="A15" s="22"/>
      <c r="B15" s="22"/>
      <c r="C15" s="22"/>
      <c r="D15" s="22"/>
      <c r="E15" s="22"/>
      <c r="F15" s="22"/>
      <c r="G15" s="22"/>
      <c r="H15" s="22"/>
      <c r="I15" s="22"/>
      <c r="J15" s="101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</row>
    <row r="16">
      <c r="A16" s="103" t="s">
        <v>216</v>
      </c>
      <c r="B16" s="104" t="s">
        <v>216</v>
      </c>
      <c r="C16" s="13"/>
      <c r="D16" s="13"/>
      <c r="E16" s="13"/>
      <c r="F16" s="13"/>
      <c r="G16" s="13"/>
      <c r="H16" s="13"/>
      <c r="I16" s="13"/>
      <c r="J16" s="13"/>
      <c r="K16" s="18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</row>
    <row r="17">
      <c r="B17" s="2" t="s">
        <v>1</v>
      </c>
      <c r="C17" s="2" t="s">
        <v>2</v>
      </c>
      <c r="D17" s="2" t="s">
        <v>3</v>
      </c>
      <c r="E17" s="2" t="s">
        <v>4</v>
      </c>
      <c r="F17" s="2" t="s">
        <v>5</v>
      </c>
      <c r="G17" s="2" t="s">
        <v>6</v>
      </c>
      <c r="H17" s="106" t="s">
        <v>7</v>
      </c>
      <c r="I17" s="27" t="s">
        <v>8</v>
      </c>
      <c r="J17" s="29" t="s">
        <v>9</v>
      </c>
      <c r="K17" s="27" t="s">
        <v>10</v>
      </c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</row>
    <row r="18">
      <c r="B18" s="33" t="s">
        <v>37</v>
      </c>
      <c r="C18" s="34" t="s">
        <v>37</v>
      </c>
      <c r="D18" s="107">
        <v>37621.0</v>
      </c>
      <c r="E18" s="35" t="s">
        <v>15</v>
      </c>
      <c r="F18" s="43" t="s">
        <v>44</v>
      </c>
      <c r="G18" s="33">
        <v>3.0</v>
      </c>
      <c r="H18" s="108" t="s">
        <v>219</v>
      </c>
      <c r="I18" s="110" t="s">
        <v>241</v>
      </c>
      <c r="J18" s="52" t="s">
        <v>244</v>
      </c>
      <c r="K18" s="55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</row>
    <row r="19">
      <c r="B19" s="33" t="s">
        <v>61</v>
      </c>
      <c r="C19" s="34" t="s">
        <v>62</v>
      </c>
      <c r="D19" s="107">
        <v>37631.0</v>
      </c>
      <c r="E19" s="35" t="s">
        <v>54</v>
      </c>
      <c r="F19" s="43" t="s">
        <v>249</v>
      </c>
      <c r="G19" s="33">
        <v>3.0</v>
      </c>
      <c r="H19" s="116" t="s">
        <v>49</v>
      </c>
      <c r="I19" s="117" t="s">
        <v>253</v>
      </c>
      <c r="J19" s="118" t="s">
        <v>254</v>
      </c>
      <c r="K19" s="55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</row>
    <row r="20">
      <c r="B20" s="33" t="s">
        <v>66</v>
      </c>
      <c r="C20" s="34" t="s">
        <v>68</v>
      </c>
      <c r="D20" s="121">
        <v>37617.0</v>
      </c>
      <c r="E20" s="35" t="s">
        <v>15</v>
      </c>
      <c r="F20" s="43" t="s">
        <v>262</v>
      </c>
      <c r="G20" s="33">
        <v>1.5</v>
      </c>
      <c r="H20" s="116" t="s">
        <v>219</v>
      </c>
      <c r="I20" s="117" t="s">
        <v>266</v>
      </c>
      <c r="J20" s="56" t="s">
        <v>267</v>
      </c>
      <c r="K20" s="123" t="s">
        <v>269</v>
      </c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</row>
    <row r="21">
      <c r="B21" s="33" t="s">
        <v>116</v>
      </c>
      <c r="C21" s="34" t="s">
        <v>117</v>
      </c>
      <c r="D21" s="107">
        <v>37623.0</v>
      </c>
      <c r="E21" s="35" t="s">
        <v>24</v>
      </c>
      <c r="F21" s="35" t="s">
        <v>273</v>
      </c>
      <c r="G21" s="33">
        <v>3.0</v>
      </c>
      <c r="H21" s="116" t="s">
        <v>219</v>
      </c>
      <c r="I21" s="62" t="s">
        <v>41</v>
      </c>
      <c r="J21" s="63" t="s">
        <v>275</v>
      </c>
      <c r="K21" s="55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</row>
    <row r="22">
      <c r="B22" s="33" t="s">
        <v>136</v>
      </c>
      <c r="C22" s="34" t="s">
        <v>137</v>
      </c>
      <c r="D22" s="107">
        <v>37625.0</v>
      </c>
      <c r="E22" s="35" t="s">
        <v>24</v>
      </c>
      <c r="F22" s="43" t="s">
        <v>48</v>
      </c>
      <c r="G22" s="33">
        <v>3.0</v>
      </c>
      <c r="H22" s="116" t="s">
        <v>219</v>
      </c>
      <c r="I22" s="62" t="s">
        <v>142</v>
      </c>
      <c r="J22" s="63" t="s">
        <v>280</v>
      </c>
      <c r="K22" s="55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</row>
    <row r="23">
      <c r="B23" s="33" t="s">
        <v>155</v>
      </c>
      <c r="C23" s="34" t="s">
        <v>156</v>
      </c>
      <c r="D23" s="35">
        <v>37619.0</v>
      </c>
      <c r="E23" s="35" t="s">
        <v>15</v>
      </c>
      <c r="F23" s="43" t="s">
        <v>63</v>
      </c>
      <c r="G23" s="33">
        <v>3.0</v>
      </c>
      <c r="H23" s="116" t="s">
        <v>219</v>
      </c>
      <c r="I23" s="130" t="s">
        <v>163</v>
      </c>
      <c r="J23" s="84"/>
      <c r="K23" s="55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>
      <c r="B24" s="33" t="s">
        <v>94</v>
      </c>
      <c r="C24" s="34" t="s">
        <v>95</v>
      </c>
      <c r="D24" s="107">
        <v>37627.0</v>
      </c>
      <c r="E24" s="35" t="s">
        <v>54</v>
      </c>
      <c r="F24" s="43" t="s">
        <v>290</v>
      </c>
      <c r="G24" s="33">
        <v>3.0</v>
      </c>
      <c r="H24" s="116" t="s">
        <v>49</v>
      </c>
      <c r="I24" s="134" t="s">
        <v>172</v>
      </c>
      <c r="J24" s="89"/>
      <c r="K24" s="55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>
      <c r="B25" s="33" t="s">
        <v>178</v>
      </c>
      <c r="C25" s="34" t="s">
        <v>179</v>
      </c>
      <c r="D25" s="107">
        <v>37629.0</v>
      </c>
      <c r="E25" s="35" t="s">
        <v>54</v>
      </c>
      <c r="F25" s="43" t="s">
        <v>63</v>
      </c>
      <c r="G25" s="33">
        <v>3.0</v>
      </c>
      <c r="H25" s="116" t="s">
        <v>49</v>
      </c>
      <c r="I25" s="134" t="s">
        <v>301</v>
      </c>
      <c r="J25" s="63" t="s">
        <v>304</v>
      </c>
      <c r="K25" s="55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>
      <c r="B26" s="33" t="s">
        <v>107</v>
      </c>
      <c r="C26" s="34" t="s">
        <v>108</v>
      </c>
      <c r="D26" s="121">
        <v>37615.0</v>
      </c>
      <c r="E26" s="35" t="s">
        <v>15</v>
      </c>
      <c r="F26" s="35" t="s">
        <v>189</v>
      </c>
      <c r="G26" s="33">
        <v>2.0</v>
      </c>
      <c r="H26" s="116" t="s">
        <v>312</v>
      </c>
      <c r="I26" s="138" t="s">
        <v>315</v>
      </c>
      <c r="J26" s="63" t="s">
        <v>317</v>
      </c>
      <c r="K26" s="55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>
      <c r="B27" s="86" t="s">
        <v>167</v>
      </c>
      <c r="C27" s="13"/>
      <c r="D27" s="13"/>
      <c r="E27" s="13"/>
      <c r="F27" s="18"/>
      <c r="G27" s="88">
        <f>SUM(G18:G26)</f>
        <v>24.5</v>
      </c>
      <c r="H27" s="21"/>
      <c r="I27" s="55"/>
      <c r="J27" s="99"/>
      <c r="K27" s="55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>
      <c r="A28" s="22"/>
      <c r="B28" s="22"/>
      <c r="C28" s="22"/>
      <c r="D28" s="22"/>
      <c r="E28" s="22"/>
      <c r="F28" s="22"/>
      <c r="G28" s="22"/>
      <c r="H28" s="22"/>
      <c r="I28" s="22"/>
      <c r="J28" s="101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</row>
    <row r="29">
      <c r="A29" s="22"/>
      <c r="B29" s="22"/>
      <c r="C29" s="22"/>
      <c r="D29" s="22"/>
      <c r="E29" s="22"/>
      <c r="F29" s="22"/>
      <c r="G29" s="22"/>
      <c r="H29" s="22"/>
      <c r="I29" s="22"/>
      <c r="J29" s="101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>
      <c r="A30" s="12" t="str">
        <f>B30</f>
        <v>FM 201</v>
      </c>
      <c r="B30" s="104" t="s">
        <v>338</v>
      </c>
      <c r="C30" s="13"/>
      <c r="D30" s="13"/>
      <c r="E30" s="13"/>
      <c r="F30" s="13"/>
      <c r="G30" s="13"/>
      <c r="H30" s="13"/>
      <c r="I30" s="13"/>
      <c r="J30" s="13"/>
      <c r="K30" s="18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>
      <c r="B31" s="2" t="s">
        <v>1</v>
      </c>
      <c r="C31" s="2" t="s">
        <v>2</v>
      </c>
      <c r="D31" s="2" t="s">
        <v>3</v>
      </c>
      <c r="E31" s="2" t="s">
        <v>4</v>
      </c>
      <c r="F31" s="2" t="s">
        <v>5</v>
      </c>
      <c r="G31" s="2" t="s">
        <v>6</v>
      </c>
      <c r="H31" s="106" t="s">
        <v>7</v>
      </c>
      <c r="I31" s="27" t="s">
        <v>8</v>
      </c>
      <c r="J31" s="29" t="s">
        <v>9</v>
      </c>
      <c r="K31" s="27" t="s">
        <v>10</v>
      </c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>
      <c r="B32" s="145" t="s">
        <v>347</v>
      </c>
      <c r="C32" s="146" t="s">
        <v>348</v>
      </c>
      <c r="D32" s="147">
        <v>37639.0</v>
      </c>
      <c r="E32" s="145" t="s">
        <v>31</v>
      </c>
      <c r="F32" s="146" t="s">
        <v>124</v>
      </c>
      <c r="G32" s="146">
        <v>3.0</v>
      </c>
      <c r="H32" s="148" t="s">
        <v>350</v>
      </c>
      <c r="I32" s="149" t="s">
        <v>241</v>
      </c>
      <c r="J32" s="69" t="s">
        <v>351</v>
      </c>
      <c r="K32" s="55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>
      <c r="B33" s="145" t="s">
        <v>354</v>
      </c>
      <c r="C33" s="145" t="s">
        <v>355</v>
      </c>
      <c r="D33" s="147">
        <v>37641.0</v>
      </c>
      <c r="E33" s="145" t="s">
        <v>31</v>
      </c>
      <c r="F33" s="146" t="s">
        <v>85</v>
      </c>
      <c r="G33" s="146">
        <v>3.0</v>
      </c>
      <c r="H33" s="148" t="s">
        <v>350</v>
      </c>
      <c r="I33" s="150" t="s">
        <v>52</v>
      </c>
      <c r="J33" s="63" t="s">
        <v>357</v>
      </c>
      <c r="K33" s="55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>
      <c r="B34" s="145" t="s">
        <v>359</v>
      </c>
      <c r="C34" s="146" t="s">
        <v>360</v>
      </c>
      <c r="D34" s="147">
        <v>37643.0</v>
      </c>
      <c r="E34" s="145" t="s">
        <v>81</v>
      </c>
      <c r="F34" s="146" t="s">
        <v>261</v>
      </c>
      <c r="G34" s="146">
        <v>3.0</v>
      </c>
      <c r="H34" s="148" t="s">
        <v>49</v>
      </c>
      <c r="I34" s="150" t="s">
        <v>364</v>
      </c>
      <c r="J34" s="152"/>
      <c r="K34" s="55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>
      <c r="B35" s="145" t="s">
        <v>174</v>
      </c>
      <c r="C35" s="146" t="s">
        <v>176</v>
      </c>
      <c r="D35" s="154">
        <v>37645.0</v>
      </c>
      <c r="E35" s="145" t="s">
        <v>81</v>
      </c>
      <c r="F35" s="146" t="s">
        <v>124</v>
      </c>
      <c r="G35" s="146">
        <v>3.0</v>
      </c>
      <c r="H35" s="148" t="s">
        <v>49</v>
      </c>
      <c r="I35" s="136" t="s">
        <v>302</v>
      </c>
      <c r="J35" s="51" t="s">
        <v>369</v>
      </c>
      <c r="K35" s="55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>
      <c r="B36" s="145" t="s">
        <v>375</v>
      </c>
      <c r="C36" s="146" t="s">
        <v>377</v>
      </c>
      <c r="D36" s="154">
        <v>37647.0</v>
      </c>
      <c r="E36" s="145" t="s">
        <v>54</v>
      </c>
      <c r="F36" s="146" t="s">
        <v>261</v>
      </c>
      <c r="G36" s="146">
        <v>3.0</v>
      </c>
      <c r="H36" s="148" t="s">
        <v>19</v>
      </c>
      <c r="I36" s="117" t="s">
        <v>382</v>
      </c>
      <c r="J36" s="157"/>
      <c r="K36" s="55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>
      <c r="B37" s="145" t="s">
        <v>385</v>
      </c>
      <c r="C37" s="145" t="s">
        <v>387</v>
      </c>
      <c r="D37" s="154">
        <v>37649.0</v>
      </c>
      <c r="E37" s="145" t="s">
        <v>54</v>
      </c>
      <c r="F37" s="146" t="s">
        <v>124</v>
      </c>
      <c r="G37" s="146">
        <v>3.0</v>
      </c>
      <c r="H37" s="148" t="s">
        <v>19</v>
      </c>
      <c r="I37" s="117" t="s">
        <v>390</v>
      </c>
      <c r="J37" s="62" t="s">
        <v>392</v>
      </c>
      <c r="K37" s="55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>
      <c r="B38" s="145" t="s">
        <v>396</v>
      </c>
      <c r="C38" s="146" t="s">
        <v>397</v>
      </c>
      <c r="D38" s="147">
        <v>37633.0</v>
      </c>
      <c r="E38" s="145" t="s">
        <v>83</v>
      </c>
      <c r="F38" s="146" t="s">
        <v>261</v>
      </c>
      <c r="G38" s="146">
        <v>3.0</v>
      </c>
      <c r="H38" s="145" t="s">
        <v>19</v>
      </c>
      <c r="I38" s="150" t="s">
        <v>401</v>
      </c>
      <c r="J38" s="160" t="s">
        <v>402</v>
      </c>
      <c r="K38" s="55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>
      <c r="B39" s="145" t="s">
        <v>403</v>
      </c>
      <c r="C39" s="146" t="s">
        <v>404</v>
      </c>
      <c r="D39" s="154">
        <v>37637.0</v>
      </c>
      <c r="E39" s="145" t="s">
        <v>31</v>
      </c>
      <c r="F39" s="146" t="s">
        <v>189</v>
      </c>
      <c r="G39" s="146">
        <v>2.0</v>
      </c>
      <c r="H39" s="148" t="s">
        <v>111</v>
      </c>
      <c r="I39" s="150" t="s">
        <v>406</v>
      </c>
      <c r="J39" s="39" t="s">
        <v>407</v>
      </c>
      <c r="K39" s="55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>
      <c r="B40" s="145" t="s">
        <v>410</v>
      </c>
      <c r="C40" s="146" t="s">
        <v>411</v>
      </c>
      <c r="D40" s="154">
        <v>37635.0</v>
      </c>
      <c r="E40" s="145" t="s">
        <v>83</v>
      </c>
      <c r="F40" s="146" t="s">
        <v>413</v>
      </c>
      <c r="G40" s="146">
        <v>1.5</v>
      </c>
      <c r="H40" s="148" t="s">
        <v>19</v>
      </c>
      <c r="I40" s="150" t="s">
        <v>266</v>
      </c>
      <c r="J40" s="164" t="s">
        <v>418</v>
      </c>
      <c r="K40" s="55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</row>
    <row r="41">
      <c r="B41" s="86" t="s">
        <v>167</v>
      </c>
      <c r="C41" s="13"/>
      <c r="D41" s="13"/>
      <c r="E41" s="13"/>
      <c r="F41" s="18"/>
      <c r="G41" s="88">
        <f>SUM(G32:G40)</f>
        <v>24.5</v>
      </c>
      <c r="H41" s="21"/>
      <c r="I41" s="55"/>
      <c r="J41" s="99"/>
      <c r="K41" s="55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</row>
    <row r="42">
      <c r="A42" s="22"/>
      <c r="B42" s="22"/>
      <c r="C42" s="22"/>
      <c r="D42" s="22"/>
      <c r="E42" s="22"/>
      <c r="F42" s="22"/>
      <c r="G42" s="22"/>
      <c r="H42" s="22"/>
      <c r="I42" s="22"/>
      <c r="J42" s="101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</row>
    <row r="43">
      <c r="A43" s="22"/>
      <c r="B43" s="22"/>
      <c r="C43" s="22"/>
      <c r="D43" s="22"/>
      <c r="E43" s="22"/>
      <c r="F43" s="22"/>
      <c r="G43" s="22"/>
      <c r="H43" s="22"/>
      <c r="I43" s="22"/>
      <c r="J43" s="101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</row>
    <row r="44">
      <c r="A44" s="12" t="str">
        <f>B44</f>
        <v>FM 202</v>
      </c>
      <c r="B44" s="104" t="s">
        <v>435</v>
      </c>
      <c r="C44" s="13"/>
      <c r="D44" s="13"/>
      <c r="E44" s="13"/>
      <c r="F44" s="13"/>
      <c r="G44" s="13"/>
      <c r="H44" s="13"/>
      <c r="I44" s="13"/>
      <c r="J44" s="13"/>
      <c r="K44" s="18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</row>
    <row r="45">
      <c r="B45" s="2" t="s">
        <v>1</v>
      </c>
      <c r="C45" s="2" t="s">
        <v>2</v>
      </c>
      <c r="D45" s="2" t="s">
        <v>3</v>
      </c>
      <c r="E45" s="2" t="s">
        <v>4</v>
      </c>
      <c r="F45" s="2" t="s">
        <v>5</v>
      </c>
      <c r="G45" s="2" t="s">
        <v>6</v>
      </c>
      <c r="H45" s="30" t="s">
        <v>7</v>
      </c>
      <c r="I45" s="170" t="s">
        <v>8</v>
      </c>
      <c r="J45" s="29" t="s">
        <v>9</v>
      </c>
      <c r="K45" s="27" t="s">
        <v>10</v>
      </c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</row>
    <row r="46">
      <c r="B46" s="145" t="s">
        <v>347</v>
      </c>
      <c r="C46" s="146" t="s">
        <v>348</v>
      </c>
      <c r="D46" s="147">
        <v>37651.0</v>
      </c>
      <c r="E46" s="145" t="s">
        <v>24</v>
      </c>
      <c r="F46" s="146" t="s">
        <v>48</v>
      </c>
      <c r="G46" s="146">
        <v>3.0</v>
      </c>
      <c r="H46" s="145" t="s">
        <v>242</v>
      </c>
      <c r="I46" s="150" t="s">
        <v>445</v>
      </c>
      <c r="J46" s="172" t="s">
        <v>447</v>
      </c>
      <c r="K46" s="55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</row>
    <row r="47">
      <c r="B47" s="145" t="s">
        <v>354</v>
      </c>
      <c r="C47" s="146" t="s">
        <v>355</v>
      </c>
      <c r="D47" s="147">
        <v>37653.0</v>
      </c>
      <c r="E47" s="145" t="s">
        <v>31</v>
      </c>
      <c r="F47" s="146" t="s">
        <v>255</v>
      </c>
      <c r="G47" s="146">
        <v>3.0</v>
      </c>
      <c r="H47" s="174" t="s">
        <v>242</v>
      </c>
      <c r="I47" s="150" t="s">
        <v>52</v>
      </c>
      <c r="J47" s="175" t="s">
        <v>458</v>
      </c>
      <c r="K47" s="55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</row>
    <row r="48">
      <c r="B48" s="145" t="s">
        <v>359</v>
      </c>
      <c r="C48" s="146" t="s">
        <v>360</v>
      </c>
      <c r="D48" s="154">
        <v>37667.0</v>
      </c>
      <c r="E48" s="145" t="s">
        <v>54</v>
      </c>
      <c r="F48" s="146" t="s">
        <v>44</v>
      </c>
      <c r="G48" s="146">
        <v>3.0</v>
      </c>
      <c r="H48" s="145" t="s">
        <v>242</v>
      </c>
      <c r="I48" s="105" t="s">
        <v>474</v>
      </c>
      <c r="J48" s="178" t="s">
        <v>476</v>
      </c>
      <c r="K48" s="55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</row>
    <row r="49">
      <c r="B49" s="145" t="s">
        <v>174</v>
      </c>
      <c r="C49" s="146" t="s">
        <v>176</v>
      </c>
      <c r="D49" s="154">
        <v>37655.0</v>
      </c>
      <c r="E49" s="145" t="s">
        <v>71</v>
      </c>
      <c r="F49" s="146" t="s">
        <v>160</v>
      </c>
      <c r="G49" s="146">
        <v>3.0</v>
      </c>
      <c r="H49" s="174" t="s">
        <v>242</v>
      </c>
      <c r="I49" s="180" t="s">
        <v>485</v>
      </c>
      <c r="J49" s="181" t="s">
        <v>487</v>
      </c>
      <c r="K49" s="55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</row>
    <row r="50">
      <c r="B50" s="145" t="s">
        <v>375</v>
      </c>
      <c r="C50" s="146" t="s">
        <v>377</v>
      </c>
      <c r="D50" s="154">
        <v>37665.0</v>
      </c>
      <c r="E50" s="145" t="s">
        <v>54</v>
      </c>
      <c r="F50" s="146" t="s">
        <v>124</v>
      </c>
      <c r="G50" s="146">
        <v>3.0</v>
      </c>
      <c r="H50" s="174" t="s">
        <v>242</v>
      </c>
      <c r="I50" s="117" t="s">
        <v>382</v>
      </c>
      <c r="J50" s="84"/>
      <c r="K50" s="55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</row>
    <row r="51">
      <c r="B51" s="145" t="s">
        <v>385</v>
      </c>
      <c r="C51" s="146" t="s">
        <v>387</v>
      </c>
      <c r="D51" s="154">
        <v>37663.0</v>
      </c>
      <c r="E51" s="145" t="s">
        <v>54</v>
      </c>
      <c r="F51" s="146" t="s">
        <v>261</v>
      </c>
      <c r="G51" s="146">
        <v>3.0</v>
      </c>
      <c r="H51" s="174" t="s">
        <v>242</v>
      </c>
      <c r="I51" s="117" t="s">
        <v>132</v>
      </c>
      <c r="J51" s="63" t="s">
        <v>504</v>
      </c>
      <c r="K51" s="55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</row>
    <row r="52">
      <c r="B52" s="145" t="s">
        <v>396</v>
      </c>
      <c r="C52" s="146" t="s">
        <v>397</v>
      </c>
      <c r="D52" s="147">
        <v>37661.0</v>
      </c>
      <c r="E52" s="145" t="s">
        <v>24</v>
      </c>
      <c r="F52" s="146" t="s">
        <v>44</v>
      </c>
      <c r="G52" s="146">
        <v>3.0</v>
      </c>
      <c r="H52" s="145" t="s">
        <v>242</v>
      </c>
      <c r="I52" s="150" t="s">
        <v>401</v>
      </c>
      <c r="J52" s="186" t="s">
        <v>508</v>
      </c>
      <c r="K52" s="55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</row>
    <row r="53">
      <c r="B53" s="145" t="s">
        <v>403</v>
      </c>
      <c r="C53" s="146" t="s">
        <v>404</v>
      </c>
      <c r="D53" s="154">
        <v>37657.0</v>
      </c>
      <c r="E53" s="145" t="s">
        <v>71</v>
      </c>
      <c r="F53" s="146" t="s">
        <v>514</v>
      </c>
      <c r="G53" s="146">
        <v>2.0</v>
      </c>
      <c r="H53" s="174" t="s">
        <v>312</v>
      </c>
      <c r="I53" s="187" t="s">
        <v>192</v>
      </c>
      <c r="J53" s="63" t="s">
        <v>517</v>
      </c>
      <c r="K53" s="55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</row>
    <row r="54">
      <c r="B54" s="145" t="s">
        <v>410</v>
      </c>
      <c r="C54" s="146" t="s">
        <v>411</v>
      </c>
      <c r="D54" s="154">
        <v>37659.0</v>
      </c>
      <c r="E54" s="145" t="s">
        <v>31</v>
      </c>
      <c r="F54" s="146" t="s">
        <v>524</v>
      </c>
      <c r="G54" s="146">
        <v>1.5</v>
      </c>
      <c r="H54" s="148" t="s">
        <v>239</v>
      </c>
      <c r="I54" s="188" t="s">
        <v>526</v>
      </c>
      <c r="J54" s="189" t="s">
        <v>527</v>
      </c>
      <c r="K54" s="55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</row>
    <row r="55">
      <c r="B55" s="86" t="s">
        <v>167</v>
      </c>
      <c r="C55" s="13"/>
      <c r="D55" s="13"/>
      <c r="E55" s="13"/>
      <c r="F55" s="18"/>
      <c r="G55" s="88">
        <f>SUM(G46:G54)</f>
        <v>24.5</v>
      </c>
      <c r="H55" s="21"/>
      <c r="I55" s="55"/>
      <c r="J55" s="53"/>
      <c r="K55" s="55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</row>
    <row r="56">
      <c r="A56" s="22"/>
      <c r="B56" s="22"/>
      <c r="C56" s="22"/>
      <c r="D56" s="22"/>
      <c r="E56" s="22"/>
      <c r="F56" s="22"/>
      <c r="G56" s="22"/>
      <c r="H56" s="22"/>
      <c r="I56" s="22"/>
      <c r="J56" s="101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</row>
    <row r="57">
      <c r="A57" s="22"/>
      <c r="B57" s="22"/>
      <c r="C57" s="22"/>
      <c r="D57" s="22"/>
      <c r="E57" s="22"/>
      <c r="F57" s="22"/>
      <c r="G57" s="22"/>
      <c r="H57" s="22"/>
      <c r="I57" s="22"/>
      <c r="J57" s="101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</row>
    <row r="58">
      <c r="A58" s="12" t="s">
        <v>539</v>
      </c>
      <c r="B58" s="17" t="s">
        <v>539</v>
      </c>
      <c r="C58" s="13"/>
      <c r="D58" s="13"/>
      <c r="E58" s="13"/>
      <c r="F58" s="13"/>
      <c r="G58" s="13"/>
      <c r="H58" s="13"/>
      <c r="I58" s="13"/>
      <c r="J58" s="13"/>
      <c r="K58" s="1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B59" s="2" t="s">
        <v>1</v>
      </c>
      <c r="C59" s="2" t="s">
        <v>2</v>
      </c>
      <c r="D59" s="2" t="s">
        <v>3</v>
      </c>
      <c r="E59" s="2" t="s">
        <v>4</v>
      </c>
      <c r="F59" s="2" t="s">
        <v>5</v>
      </c>
      <c r="G59" s="2" t="s">
        <v>6</v>
      </c>
      <c r="H59" s="2" t="s">
        <v>7</v>
      </c>
      <c r="I59" s="27" t="s">
        <v>8</v>
      </c>
      <c r="J59" s="29" t="s">
        <v>9</v>
      </c>
      <c r="K59" s="27" t="s">
        <v>10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B60" s="33" t="s">
        <v>61</v>
      </c>
      <c r="C60" s="34" t="s">
        <v>62</v>
      </c>
      <c r="D60" s="57">
        <v>37194.0</v>
      </c>
      <c r="E60" s="35" t="s">
        <v>294</v>
      </c>
      <c r="F60" s="35" t="s">
        <v>44</v>
      </c>
      <c r="G60" s="33">
        <v>3.0</v>
      </c>
      <c r="H60" s="36" t="s">
        <v>19</v>
      </c>
      <c r="I60" s="197" t="s">
        <v>77</v>
      </c>
      <c r="J60" s="16" t="s">
        <v>554</v>
      </c>
      <c r="K60" s="198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B61" s="33" t="s">
        <v>66</v>
      </c>
      <c r="C61" s="34" t="s">
        <v>68</v>
      </c>
      <c r="D61" s="72">
        <v>37192.0</v>
      </c>
      <c r="E61" s="35" t="s">
        <v>294</v>
      </c>
      <c r="F61" s="35" t="s">
        <v>314</v>
      </c>
      <c r="G61" s="33">
        <v>1.5</v>
      </c>
      <c r="H61" s="36" t="s">
        <v>19</v>
      </c>
      <c r="I61" s="197" t="s">
        <v>526</v>
      </c>
      <c r="J61" s="199" t="s">
        <v>564</v>
      </c>
      <c r="K61" s="200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B62" s="33" t="s">
        <v>567</v>
      </c>
      <c r="C62" s="34" t="s">
        <v>568</v>
      </c>
      <c r="D62" s="40">
        <v>37188.0</v>
      </c>
      <c r="E62" s="35" t="s">
        <v>35</v>
      </c>
      <c r="F62" s="35" t="s">
        <v>570</v>
      </c>
      <c r="G62" s="33">
        <v>3.0</v>
      </c>
      <c r="H62" s="36" t="s">
        <v>19</v>
      </c>
      <c r="I62" s="197" t="s">
        <v>571</v>
      </c>
      <c r="J62" s="203" t="s">
        <v>572</v>
      </c>
      <c r="K62" s="21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B63" s="33" t="s">
        <v>79</v>
      </c>
      <c r="C63" s="34" t="s">
        <v>80</v>
      </c>
      <c r="D63" s="57">
        <v>37190.0</v>
      </c>
      <c r="E63" s="35" t="s">
        <v>35</v>
      </c>
      <c r="F63" s="35" t="s">
        <v>44</v>
      </c>
      <c r="G63" s="33">
        <v>3.0</v>
      </c>
      <c r="H63" s="36" t="s">
        <v>19</v>
      </c>
      <c r="I63" s="205" t="s">
        <v>577</v>
      </c>
      <c r="J63" s="206" t="s">
        <v>578</v>
      </c>
      <c r="K63" s="21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B64" s="33" t="s">
        <v>94</v>
      </c>
      <c r="C64" s="34" t="s">
        <v>95</v>
      </c>
      <c r="D64" s="57">
        <v>37198.0</v>
      </c>
      <c r="E64" s="35" t="s">
        <v>324</v>
      </c>
      <c r="F64" s="35" t="s">
        <v>514</v>
      </c>
      <c r="G64" s="33">
        <v>3.0</v>
      </c>
      <c r="H64" s="36" t="s">
        <v>19</v>
      </c>
      <c r="I64" s="197" t="s">
        <v>581</v>
      </c>
      <c r="J64" s="70"/>
      <c r="K64" s="21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B65" s="33" t="s">
        <v>178</v>
      </c>
      <c r="C65" s="34" t="s">
        <v>179</v>
      </c>
      <c r="D65" s="57">
        <v>37202.0</v>
      </c>
      <c r="E65" s="35" t="s">
        <v>324</v>
      </c>
      <c r="F65" s="35" t="s">
        <v>48</v>
      </c>
      <c r="G65" s="33">
        <v>3.0</v>
      </c>
      <c r="H65" s="36" t="s">
        <v>19</v>
      </c>
      <c r="I65" s="197" t="s">
        <v>584</v>
      </c>
      <c r="J65" s="172" t="s">
        <v>585</v>
      </c>
      <c r="K65" s="21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B66" s="33" t="s">
        <v>107</v>
      </c>
      <c r="C66" s="34" t="s">
        <v>108</v>
      </c>
      <c r="D66" s="72">
        <v>37200.0</v>
      </c>
      <c r="E66" s="35" t="s">
        <v>324</v>
      </c>
      <c r="F66" s="35" t="s">
        <v>586</v>
      </c>
      <c r="G66" s="33">
        <v>2.0</v>
      </c>
      <c r="H66" s="36" t="s">
        <v>19</v>
      </c>
      <c r="I66" s="207" t="s">
        <v>292</v>
      </c>
      <c r="J66" s="175" t="s">
        <v>588</v>
      </c>
      <c r="K66" s="21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B67" s="33" t="s">
        <v>134</v>
      </c>
      <c r="C67" s="34" t="s">
        <v>135</v>
      </c>
      <c r="D67" s="57">
        <v>37196.0</v>
      </c>
      <c r="E67" s="35" t="s">
        <v>294</v>
      </c>
      <c r="F67" s="35" t="s">
        <v>48</v>
      </c>
      <c r="G67" s="33">
        <v>3.0</v>
      </c>
      <c r="H67" s="36" t="s">
        <v>19</v>
      </c>
      <c r="I67" s="208" t="s">
        <v>592</v>
      </c>
      <c r="J67" s="210" t="s">
        <v>593</v>
      </c>
      <c r="K67" s="21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B68" s="33" t="s">
        <v>143</v>
      </c>
      <c r="C68" s="34" t="s">
        <v>144</v>
      </c>
      <c r="D68" s="57">
        <v>37186.0</v>
      </c>
      <c r="E68" s="35" t="s">
        <v>35</v>
      </c>
      <c r="F68" s="35" t="s">
        <v>261</v>
      </c>
      <c r="G68" s="33">
        <v>3.0</v>
      </c>
      <c r="H68" s="36" t="s">
        <v>602</v>
      </c>
      <c r="I68" s="197" t="s">
        <v>603</v>
      </c>
      <c r="J68" s="122" t="s">
        <v>606</v>
      </c>
      <c r="K68" s="21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86" t="s">
        <v>167</v>
      </c>
      <c r="C69" s="13"/>
      <c r="D69" s="13"/>
      <c r="E69" s="13"/>
      <c r="F69" s="18"/>
      <c r="G69" s="88">
        <f>SUM(G60:G68)</f>
        <v>24.5</v>
      </c>
      <c r="H69" s="21"/>
      <c r="I69" s="21"/>
      <c r="J69" s="157"/>
      <c r="K69" s="21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92">
        <f>sum(G60:G68)</f>
        <v>24.5</v>
      </c>
      <c r="H70" s="5"/>
      <c r="I70" s="5"/>
      <c r="J70" s="92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92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100" t="s">
        <v>630</v>
      </c>
      <c r="B72" s="17" t="s">
        <v>630</v>
      </c>
      <c r="C72" s="13"/>
      <c r="D72" s="13"/>
      <c r="E72" s="13"/>
      <c r="F72" s="13"/>
      <c r="G72" s="13"/>
      <c r="H72" s="13"/>
      <c r="I72" s="13"/>
      <c r="J72" s="13"/>
      <c r="K72" s="18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B73" s="2" t="s">
        <v>1</v>
      </c>
      <c r="C73" s="2" t="s">
        <v>2</v>
      </c>
      <c r="D73" s="2" t="s">
        <v>3</v>
      </c>
      <c r="E73" s="2" t="s">
        <v>4</v>
      </c>
      <c r="F73" s="2" t="s">
        <v>5</v>
      </c>
      <c r="G73" s="2" t="s">
        <v>6</v>
      </c>
      <c r="H73" s="30" t="s">
        <v>210</v>
      </c>
      <c r="I73" s="27" t="s">
        <v>8</v>
      </c>
      <c r="J73" s="29" t="s">
        <v>9</v>
      </c>
      <c r="K73" s="27" t="s">
        <v>10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B74" s="146" t="s">
        <v>642</v>
      </c>
      <c r="C74" s="43" t="s">
        <v>643</v>
      </c>
      <c r="D74" s="223">
        <v>37216.0</v>
      </c>
      <c r="E74" s="145" t="s">
        <v>71</v>
      </c>
      <c r="F74" s="146" t="s">
        <v>44</v>
      </c>
      <c r="G74" s="146">
        <v>3.0</v>
      </c>
      <c r="H74" s="224" t="s">
        <v>647</v>
      </c>
      <c r="I74" s="150" t="s">
        <v>648</v>
      </c>
      <c r="J74" s="36" t="s">
        <v>650</v>
      </c>
      <c r="K74" s="21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B75" s="146" t="s">
        <v>354</v>
      </c>
      <c r="C75" s="43" t="s">
        <v>651</v>
      </c>
      <c r="D75" s="226">
        <v>37218.0</v>
      </c>
      <c r="E75" s="145" t="s">
        <v>652</v>
      </c>
      <c r="F75" s="146" t="s">
        <v>44</v>
      </c>
      <c r="G75" s="146">
        <v>3.0</v>
      </c>
      <c r="H75" s="145" t="s">
        <v>239</v>
      </c>
      <c r="I75" s="150" t="s">
        <v>52</v>
      </c>
      <c r="J75" s="36" t="s">
        <v>654</v>
      </c>
      <c r="K75" s="21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B76" s="146" t="s">
        <v>438</v>
      </c>
      <c r="C76" s="43" t="s">
        <v>655</v>
      </c>
      <c r="D76" s="223">
        <v>37220.0</v>
      </c>
      <c r="E76" s="145" t="s">
        <v>652</v>
      </c>
      <c r="F76" s="146" t="s">
        <v>48</v>
      </c>
      <c r="G76" s="146">
        <v>3.0</v>
      </c>
      <c r="H76" s="145" t="s">
        <v>239</v>
      </c>
      <c r="I76" s="150" t="s">
        <v>657</v>
      </c>
      <c r="J76" s="229" t="s">
        <v>658</v>
      </c>
      <c r="K76" s="230" t="s">
        <v>660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B77" s="146" t="s">
        <v>662</v>
      </c>
      <c r="C77" s="43" t="s">
        <v>663</v>
      </c>
      <c r="D77" s="223">
        <v>37212.0</v>
      </c>
      <c r="E77" s="145" t="s">
        <v>31</v>
      </c>
      <c r="F77" s="146" t="s">
        <v>48</v>
      </c>
      <c r="G77" s="146">
        <v>3.0</v>
      </c>
      <c r="H77" s="145" t="s">
        <v>219</v>
      </c>
      <c r="I77" s="150" t="s">
        <v>665</v>
      </c>
      <c r="J77" s="90"/>
      <c r="K77" s="21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B78" s="146" t="s">
        <v>671</v>
      </c>
      <c r="C78" s="145" t="s">
        <v>673</v>
      </c>
      <c r="D78" s="226">
        <v>37204.0</v>
      </c>
      <c r="E78" s="145" t="s">
        <v>83</v>
      </c>
      <c r="F78" s="146" t="s">
        <v>44</v>
      </c>
      <c r="G78" s="146">
        <v>3.0</v>
      </c>
      <c r="H78" s="234" t="s">
        <v>242</v>
      </c>
      <c r="I78" s="150" t="s">
        <v>648</v>
      </c>
      <c r="J78" s="36" t="s">
        <v>676</v>
      </c>
      <c r="K78" s="119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B79" s="145" t="s">
        <v>681</v>
      </c>
      <c r="C79" s="43" t="s">
        <v>682</v>
      </c>
      <c r="D79" s="223">
        <v>37206.0</v>
      </c>
      <c r="E79" s="145" t="s">
        <v>83</v>
      </c>
      <c r="F79" s="146" t="s">
        <v>48</v>
      </c>
      <c r="G79" s="146">
        <v>3.0</v>
      </c>
      <c r="H79" s="145" t="s">
        <v>242</v>
      </c>
      <c r="I79" s="150" t="s">
        <v>665</v>
      </c>
      <c r="J79" s="238"/>
      <c r="K79" s="21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B80" s="146" t="s">
        <v>119</v>
      </c>
      <c r="C80" s="43" t="s">
        <v>120</v>
      </c>
      <c r="D80" s="223">
        <v>37210.0</v>
      </c>
      <c r="E80" s="145" t="s">
        <v>31</v>
      </c>
      <c r="F80" s="146" t="s">
        <v>44</v>
      </c>
      <c r="G80" s="146">
        <v>3.0</v>
      </c>
      <c r="H80" s="145" t="s">
        <v>219</v>
      </c>
      <c r="I80" s="150" t="s">
        <v>694</v>
      </c>
      <c r="J80" s="122" t="s">
        <v>695</v>
      </c>
      <c r="K80" s="21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B81" s="146" t="s">
        <v>403</v>
      </c>
      <c r="C81" s="43" t="s">
        <v>404</v>
      </c>
      <c r="D81" s="223">
        <v>37208.0</v>
      </c>
      <c r="E81" s="145" t="s">
        <v>31</v>
      </c>
      <c r="F81" s="146" t="s">
        <v>556</v>
      </c>
      <c r="G81" s="146">
        <v>2.0</v>
      </c>
      <c r="H81" s="234" t="s">
        <v>111</v>
      </c>
      <c r="I81" s="150" t="s">
        <v>406</v>
      </c>
      <c r="J81" s="122" t="s">
        <v>708</v>
      </c>
      <c r="K81" s="21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B82" s="145" t="s">
        <v>710</v>
      </c>
      <c r="C82" s="43" t="s">
        <v>711</v>
      </c>
      <c r="D82" s="223">
        <v>37214.0</v>
      </c>
      <c r="E82" s="145" t="s">
        <v>71</v>
      </c>
      <c r="F82" s="146" t="s">
        <v>100</v>
      </c>
      <c r="G82" s="145">
        <v>1.5</v>
      </c>
      <c r="H82" s="240" t="s">
        <v>574</v>
      </c>
      <c r="I82" s="150" t="s">
        <v>714</v>
      </c>
      <c r="J82" s="56" t="s">
        <v>715</v>
      </c>
      <c r="K82" s="119" t="s">
        <v>717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B83" s="86" t="s">
        <v>167</v>
      </c>
      <c r="C83" s="13"/>
      <c r="D83" s="13"/>
      <c r="E83" s="13"/>
      <c r="F83" s="18"/>
      <c r="G83" s="88">
        <f>SUM(G74:G82)</f>
        <v>24.5</v>
      </c>
      <c r="H83" s="21"/>
      <c r="I83" s="21"/>
      <c r="J83" s="90"/>
      <c r="K83" s="21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92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92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100" t="s">
        <v>724</v>
      </c>
      <c r="B86" s="17" t="s">
        <v>724</v>
      </c>
      <c r="C86" s="13"/>
      <c r="D86" s="13"/>
      <c r="E86" s="13"/>
      <c r="F86" s="13"/>
      <c r="G86" s="13"/>
      <c r="H86" s="13"/>
      <c r="I86" s="13"/>
      <c r="J86" s="13"/>
      <c r="K86" s="18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B87" s="2" t="s">
        <v>1</v>
      </c>
      <c r="C87" s="2" t="s">
        <v>2</v>
      </c>
      <c r="D87" s="2" t="s">
        <v>3</v>
      </c>
      <c r="E87" s="2" t="s">
        <v>4</v>
      </c>
      <c r="F87" s="2" t="s">
        <v>5</v>
      </c>
      <c r="G87" s="2" t="s">
        <v>6</v>
      </c>
      <c r="H87" s="30" t="s">
        <v>7</v>
      </c>
      <c r="I87" s="27" t="s">
        <v>8</v>
      </c>
      <c r="J87" s="29" t="s">
        <v>9</v>
      </c>
      <c r="K87" s="27" t="s">
        <v>10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B88" s="146" t="s">
        <v>730</v>
      </c>
      <c r="C88" s="146" t="s">
        <v>732</v>
      </c>
      <c r="D88" s="147">
        <v>37228.0</v>
      </c>
      <c r="E88" s="145" t="s">
        <v>15</v>
      </c>
      <c r="F88" s="146" t="s">
        <v>63</v>
      </c>
      <c r="G88" s="146">
        <v>3.0</v>
      </c>
      <c r="H88" s="145" t="s">
        <v>205</v>
      </c>
      <c r="I88" s="150" t="s">
        <v>733</v>
      </c>
      <c r="J88" s="244" t="s">
        <v>734</v>
      </c>
      <c r="K88" s="21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B89" s="146" t="s">
        <v>738</v>
      </c>
      <c r="C89" s="146" t="s">
        <v>739</v>
      </c>
      <c r="D89" s="147">
        <v>37222.0</v>
      </c>
      <c r="E89" s="145" t="s">
        <v>15</v>
      </c>
      <c r="F89" s="146" t="s">
        <v>44</v>
      </c>
      <c r="G89" s="146">
        <v>3.0</v>
      </c>
      <c r="H89" s="234" t="s">
        <v>205</v>
      </c>
      <c r="I89" s="150" t="s">
        <v>743</v>
      </c>
      <c r="J89" s="36" t="s">
        <v>744</v>
      </c>
      <c r="K89" s="119" t="s">
        <v>745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B90" s="146" t="s">
        <v>747</v>
      </c>
      <c r="C90" s="146" t="s">
        <v>748</v>
      </c>
      <c r="D90" s="147">
        <v>37230.0</v>
      </c>
      <c r="E90" s="145" t="s">
        <v>54</v>
      </c>
      <c r="F90" s="146" t="s">
        <v>160</v>
      </c>
      <c r="G90" s="146">
        <v>3.0</v>
      </c>
      <c r="H90" s="234" t="s">
        <v>227</v>
      </c>
      <c r="I90" s="150" t="s">
        <v>301</v>
      </c>
      <c r="J90" s="36" t="s">
        <v>750</v>
      </c>
      <c r="K90" s="21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B91" s="146" t="s">
        <v>751</v>
      </c>
      <c r="C91" s="146" t="s">
        <v>753</v>
      </c>
      <c r="D91" s="147">
        <v>37232.0</v>
      </c>
      <c r="E91" s="145" t="s">
        <v>54</v>
      </c>
      <c r="F91" s="146" t="s">
        <v>63</v>
      </c>
      <c r="G91" s="146">
        <v>3.0</v>
      </c>
      <c r="H91" s="145" t="s">
        <v>227</v>
      </c>
      <c r="I91" s="248" t="s">
        <v>163</v>
      </c>
      <c r="J91" s="90"/>
      <c r="K91" s="21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B92" s="146" t="s">
        <v>756</v>
      </c>
      <c r="C92" s="146" t="s">
        <v>757</v>
      </c>
      <c r="D92" s="147">
        <v>37224.0</v>
      </c>
      <c r="E92" s="145" t="s">
        <v>71</v>
      </c>
      <c r="F92" s="146" t="s">
        <v>160</v>
      </c>
      <c r="G92" s="146">
        <v>3.0</v>
      </c>
      <c r="H92" s="240" t="s">
        <v>376</v>
      </c>
      <c r="I92" s="150" t="s">
        <v>163</v>
      </c>
      <c r="J92" s="251"/>
      <c r="K92" s="21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B93" s="146" t="s">
        <v>762</v>
      </c>
      <c r="C93" s="146" t="s">
        <v>764</v>
      </c>
      <c r="D93" s="147">
        <v>37226.0</v>
      </c>
      <c r="E93" s="145" t="s">
        <v>15</v>
      </c>
      <c r="F93" s="146" t="s">
        <v>160</v>
      </c>
      <c r="G93" s="146">
        <v>3.0</v>
      </c>
      <c r="H93" s="145" t="s">
        <v>205</v>
      </c>
      <c r="I93" s="150" t="s">
        <v>766</v>
      </c>
      <c r="J93" s="62" t="s">
        <v>767</v>
      </c>
      <c r="K93" s="21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B94" s="146" t="s">
        <v>768</v>
      </c>
      <c r="C94" s="146" t="s">
        <v>411</v>
      </c>
      <c r="D94" s="154">
        <v>37234.0</v>
      </c>
      <c r="E94" s="145" t="s">
        <v>71</v>
      </c>
      <c r="F94" s="146" t="s">
        <v>314</v>
      </c>
      <c r="G94" s="146">
        <v>1.5</v>
      </c>
      <c r="H94" s="240" t="s">
        <v>376</v>
      </c>
      <c r="I94" s="150" t="s">
        <v>714</v>
      </c>
      <c r="J94" s="36" t="s">
        <v>770</v>
      </c>
      <c r="K94" s="119" t="s">
        <v>772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B95" s="86" t="s">
        <v>167</v>
      </c>
      <c r="C95" s="13"/>
      <c r="D95" s="13"/>
      <c r="E95" s="13"/>
      <c r="F95" s="18"/>
      <c r="G95" s="88">
        <f>SUM(G88:G94)</f>
        <v>19.5</v>
      </c>
      <c r="H95" s="21"/>
      <c r="I95" s="21"/>
      <c r="J95" s="90"/>
      <c r="K95" s="21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92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92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100" t="s">
        <v>777</v>
      </c>
      <c r="B98" s="17" t="s">
        <v>777</v>
      </c>
      <c r="C98" s="13"/>
      <c r="D98" s="13"/>
      <c r="E98" s="13"/>
      <c r="F98" s="13"/>
      <c r="G98" s="13"/>
      <c r="H98" s="13"/>
      <c r="I98" s="13"/>
      <c r="J98" s="13"/>
      <c r="K98" s="18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B99" s="2" t="s">
        <v>1</v>
      </c>
      <c r="C99" s="2" t="s">
        <v>2</v>
      </c>
      <c r="D99" s="2" t="s">
        <v>3</v>
      </c>
      <c r="E99" s="2" t="s">
        <v>4</v>
      </c>
      <c r="F99" s="2" t="s">
        <v>5</v>
      </c>
      <c r="G99" s="2" t="s">
        <v>6</v>
      </c>
      <c r="H99" s="30" t="s">
        <v>7</v>
      </c>
      <c r="I99" s="27" t="s">
        <v>8</v>
      </c>
      <c r="J99" s="29" t="s">
        <v>9</v>
      </c>
      <c r="K99" s="27" t="s">
        <v>10</v>
      </c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B100" s="146" t="s">
        <v>786</v>
      </c>
      <c r="C100" s="146" t="s">
        <v>787</v>
      </c>
      <c r="D100" s="255">
        <v>37238.0</v>
      </c>
      <c r="E100" s="145" t="s">
        <v>145</v>
      </c>
      <c r="F100" s="146" t="s">
        <v>48</v>
      </c>
      <c r="G100" s="146">
        <v>3.0</v>
      </c>
      <c r="H100" s="145" t="s">
        <v>49</v>
      </c>
      <c r="I100" s="150" t="s">
        <v>789</v>
      </c>
      <c r="J100" s="256" t="s">
        <v>790</v>
      </c>
      <c r="K100" s="230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B101" s="146" t="s">
        <v>796</v>
      </c>
      <c r="C101" s="146" t="s">
        <v>797</v>
      </c>
      <c r="D101" s="257">
        <v>37240.0</v>
      </c>
      <c r="E101" s="145" t="s">
        <v>15</v>
      </c>
      <c r="F101" s="146" t="s">
        <v>802</v>
      </c>
      <c r="G101" s="146">
        <v>5.0</v>
      </c>
      <c r="H101" s="145" t="s">
        <v>219</v>
      </c>
      <c r="I101" s="150" t="s">
        <v>743</v>
      </c>
      <c r="J101" s="256" t="s">
        <v>805</v>
      </c>
      <c r="K101" s="258" t="s">
        <v>806</v>
      </c>
      <c r="L101" s="259" t="s">
        <v>807</v>
      </c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B102" s="146" t="s">
        <v>792</v>
      </c>
      <c r="C102" s="146" t="s">
        <v>411</v>
      </c>
      <c r="D102" s="257">
        <v>37236.0</v>
      </c>
      <c r="E102" s="145" t="s">
        <v>145</v>
      </c>
      <c r="F102" s="146" t="s">
        <v>277</v>
      </c>
      <c r="G102" s="146">
        <v>1.5</v>
      </c>
      <c r="H102" s="145" t="s">
        <v>49</v>
      </c>
      <c r="I102" s="150" t="s">
        <v>714</v>
      </c>
      <c r="J102" s="138" t="s">
        <v>810</v>
      </c>
      <c r="K102" s="260" t="s">
        <v>811</v>
      </c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B103" s="21"/>
      <c r="C103" s="21"/>
      <c r="D103" s="21"/>
      <c r="E103" s="21"/>
      <c r="F103" s="21"/>
      <c r="G103" s="21"/>
      <c r="H103" s="261"/>
      <c r="I103" s="262"/>
      <c r="J103" s="263"/>
      <c r="K103" s="264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B104" s="86" t="s">
        <v>167</v>
      </c>
      <c r="C104" s="13"/>
      <c r="D104" s="13"/>
      <c r="E104" s="13"/>
      <c r="F104" s="18"/>
      <c r="G104" s="88">
        <f>SUM(G100:G103)</f>
        <v>9.5</v>
      </c>
      <c r="H104" s="21"/>
      <c r="I104" s="21"/>
      <c r="J104" s="90"/>
      <c r="K104" s="21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92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92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100" t="s">
        <v>820</v>
      </c>
      <c r="B107" s="17" t="s">
        <v>820</v>
      </c>
      <c r="C107" s="13"/>
      <c r="D107" s="13"/>
      <c r="E107" s="13"/>
      <c r="F107" s="13"/>
      <c r="G107" s="13"/>
      <c r="H107" s="13"/>
      <c r="I107" s="13"/>
      <c r="J107" s="13"/>
      <c r="K107" s="18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B108" s="2" t="s">
        <v>1</v>
      </c>
      <c r="C108" s="2" t="s">
        <v>2</v>
      </c>
      <c r="D108" s="2" t="s">
        <v>3</v>
      </c>
      <c r="E108" s="2" t="s">
        <v>4</v>
      </c>
      <c r="F108" s="2" t="s">
        <v>5</v>
      </c>
      <c r="G108" s="2" t="s">
        <v>6</v>
      </c>
      <c r="H108" s="2" t="s">
        <v>7</v>
      </c>
      <c r="I108" s="27" t="s">
        <v>8</v>
      </c>
      <c r="J108" s="29" t="s">
        <v>9</v>
      </c>
      <c r="K108" s="27" t="s">
        <v>10</v>
      </c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B109" s="146" t="s">
        <v>45</v>
      </c>
      <c r="C109" s="146" t="s">
        <v>46</v>
      </c>
      <c r="D109" s="147">
        <v>37250.0</v>
      </c>
      <c r="E109" s="145" t="s">
        <v>71</v>
      </c>
      <c r="F109" s="145" t="s">
        <v>63</v>
      </c>
      <c r="G109" s="146">
        <v>3.0</v>
      </c>
      <c r="H109" s="145" t="s">
        <v>19</v>
      </c>
      <c r="I109" s="150" t="s">
        <v>163</v>
      </c>
      <c r="J109" s="271"/>
      <c r="K109" s="230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B110" s="146" t="s">
        <v>838</v>
      </c>
      <c r="C110" s="146" t="s">
        <v>839</v>
      </c>
      <c r="D110" s="147">
        <v>37256.0</v>
      </c>
      <c r="E110" s="145" t="s">
        <v>81</v>
      </c>
      <c r="F110" s="145" t="s">
        <v>160</v>
      </c>
      <c r="G110" s="146">
        <v>3.0</v>
      </c>
      <c r="H110" s="145" t="s">
        <v>258</v>
      </c>
      <c r="I110" s="150" t="s">
        <v>843</v>
      </c>
      <c r="J110" s="105" t="s">
        <v>845</v>
      </c>
      <c r="K110" s="230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B111" s="146" t="s">
        <v>851</v>
      </c>
      <c r="C111" s="146" t="s">
        <v>852</v>
      </c>
      <c r="D111" s="154">
        <v>37246.0</v>
      </c>
      <c r="E111" s="145" t="s">
        <v>24</v>
      </c>
      <c r="F111" s="145" t="s">
        <v>85</v>
      </c>
      <c r="G111" s="146">
        <v>3.0</v>
      </c>
      <c r="H111" s="145" t="s">
        <v>19</v>
      </c>
      <c r="I111" s="117" t="s">
        <v>485</v>
      </c>
      <c r="J111" s="105" t="s">
        <v>859</v>
      </c>
      <c r="K111" s="230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B112" s="146" t="s">
        <v>143</v>
      </c>
      <c r="C112" s="146" t="s">
        <v>862</v>
      </c>
      <c r="D112" s="154">
        <v>37244.0</v>
      </c>
      <c r="E112" s="145" t="s">
        <v>71</v>
      </c>
      <c r="F112" s="145" t="s">
        <v>290</v>
      </c>
      <c r="G112" s="146">
        <v>3.0</v>
      </c>
      <c r="H112" s="145" t="s">
        <v>602</v>
      </c>
      <c r="I112" s="150" t="s">
        <v>603</v>
      </c>
      <c r="J112" s="275" t="s">
        <v>866</v>
      </c>
      <c r="K112" s="230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B113" s="146" t="s">
        <v>567</v>
      </c>
      <c r="C113" s="146" t="s">
        <v>568</v>
      </c>
      <c r="D113" s="154">
        <v>37264.0</v>
      </c>
      <c r="E113" s="145" t="s">
        <v>31</v>
      </c>
      <c r="F113" s="145" t="s">
        <v>63</v>
      </c>
      <c r="G113" s="146">
        <v>3.0</v>
      </c>
      <c r="H113" s="145" t="s">
        <v>258</v>
      </c>
      <c r="I113" s="150" t="s">
        <v>872</v>
      </c>
      <c r="J113" s="276" t="s">
        <v>874</v>
      </c>
      <c r="K113" s="230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B114" s="146" t="s">
        <v>79</v>
      </c>
      <c r="C114" s="146" t="s">
        <v>878</v>
      </c>
      <c r="D114" s="154">
        <v>37254.0</v>
      </c>
      <c r="E114" s="145" t="s">
        <v>31</v>
      </c>
      <c r="F114" s="145" t="s">
        <v>44</v>
      </c>
      <c r="G114" s="146">
        <v>3.0</v>
      </c>
      <c r="H114" s="145" t="s">
        <v>258</v>
      </c>
      <c r="I114" s="150" t="s">
        <v>577</v>
      </c>
      <c r="J114" s="279" t="s">
        <v>880</v>
      </c>
      <c r="K114" s="230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B115" s="146" t="s">
        <v>211</v>
      </c>
      <c r="C115" s="146" t="s">
        <v>883</v>
      </c>
      <c r="D115" s="154">
        <v>37242.0</v>
      </c>
      <c r="E115" s="145" t="s">
        <v>81</v>
      </c>
      <c r="F115" s="145" t="s">
        <v>834</v>
      </c>
      <c r="G115" s="146">
        <v>3.0</v>
      </c>
      <c r="H115" s="145" t="s">
        <v>258</v>
      </c>
      <c r="I115" s="150" t="s">
        <v>581</v>
      </c>
      <c r="J115" s="280"/>
      <c r="K115" s="230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B116" s="146" t="s">
        <v>107</v>
      </c>
      <c r="C116" s="146" t="s">
        <v>890</v>
      </c>
      <c r="D116" s="154">
        <v>37252.0</v>
      </c>
      <c r="E116" s="145" t="s">
        <v>31</v>
      </c>
      <c r="F116" s="145" t="s">
        <v>892</v>
      </c>
      <c r="G116" s="146">
        <v>2.0</v>
      </c>
      <c r="H116" s="145" t="s">
        <v>893</v>
      </c>
      <c r="I116" s="150" t="s">
        <v>192</v>
      </c>
      <c r="J116" s="256" t="s">
        <v>894</v>
      </c>
      <c r="K116" s="230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B117" s="146" t="s">
        <v>200</v>
      </c>
      <c r="C117" s="146" t="s">
        <v>900</v>
      </c>
      <c r="D117" s="147">
        <v>37258.0</v>
      </c>
      <c r="E117" s="145" t="s">
        <v>81</v>
      </c>
      <c r="F117" s="145" t="s">
        <v>794</v>
      </c>
      <c r="G117" s="146">
        <v>1.5</v>
      </c>
      <c r="H117" s="145" t="s">
        <v>258</v>
      </c>
      <c r="I117" s="150" t="s">
        <v>266</v>
      </c>
      <c r="J117" s="256" t="s">
        <v>903</v>
      </c>
      <c r="K117" s="282" t="s">
        <v>906</v>
      </c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B118" s="145" t="s">
        <v>178</v>
      </c>
      <c r="C118" s="146" t="s">
        <v>912</v>
      </c>
      <c r="D118" s="230"/>
      <c r="E118" s="145" t="s">
        <v>24</v>
      </c>
      <c r="F118" s="145" t="s">
        <v>255</v>
      </c>
      <c r="G118" s="146">
        <v>3.0</v>
      </c>
      <c r="H118" s="145" t="s">
        <v>19</v>
      </c>
      <c r="I118" s="150" t="s">
        <v>917</v>
      </c>
      <c r="J118" s="284" t="s">
        <v>918</v>
      </c>
      <c r="K118" s="230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B119" s="86" t="s">
        <v>167</v>
      </c>
      <c r="C119" s="13"/>
      <c r="D119" s="13"/>
      <c r="E119" s="13"/>
      <c r="F119" s="18"/>
      <c r="G119" s="88">
        <f>SUM(G109:G118)</f>
        <v>27.5</v>
      </c>
      <c r="H119" s="21"/>
      <c r="I119" s="21"/>
      <c r="J119" s="90"/>
      <c r="K119" s="21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92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92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100" t="s">
        <v>935</v>
      </c>
      <c r="B122" s="17" t="s">
        <v>935</v>
      </c>
      <c r="C122" s="13"/>
      <c r="D122" s="13"/>
      <c r="E122" s="13"/>
      <c r="F122" s="13"/>
      <c r="G122" s="13"/>
      <c r="H122" s="13"/>
      <c r="I122" s="13"/>
      <c r="J122" s="13"/>
      <c r="K122" s="18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B123" s="2" t="s">
        <v>1</v>
      </c>
      <c r="C123" s="2" t="s">
        <v>2</v>
      </c>
      <c r="D123" s="2" t="s">
        <v>3</v>
      </c>
      <c r="E123" s="2" t="s">
        <v>4</v>
      </c>
      <c r="F123" s="2" t="s">
        <v>5</v>
      </c>
      <c r="G123" s="2" t="s">
        <v>6</v>
      </c>
      <c r="H123" s="2" t="s">
        <v>7</v>
      </c>
      <c r="I123" s="27" t="s">
        <v>8</v>
      </c>
      <c r="J123" s="29" t="s">
        <v>9</v>
      </c>
      <c r="K123" s="27" t="s">
        <v>10</v>
      </c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B124" s="146" t="s">
        <v>45</v>
      </c>
      <c r="C124" s="146" t="s">
        <v>46</v>
      </c>
      <c r="D124" s="154">
        <v>37284.0</v>
      </c>
      <c r="E124" s="146" t="s">
        <v>15</v>
      </c>
      <c r="F124" s="146" t="s">
        <v>44</v>
      </c>
      <c r="G124" s="146">
        <v>3.0</v>
      </c>
      <c r="H124" s="234" t="s">
        <v>64</v>
      </c>
      <c r="I124" s="150" t="s">
        <v>694</v>
      </c>
      <c r="J124" s="285" t="s">
        <v>939</v>
      </c>
      <c r="K124" s="230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B125" s="146" t="s">
        <v>838</v>
      </c>
      <c r="C125" s="146" t="s">
        <v>839</v>
      </c>
      <c r="D125" s="147">
        <v>37282.0</v>
      </c>
      <c r="E125" s="146" t="s">
        <v>15</v>
      </c>
      <c r="F125" s="146" t="s">
        <v>63</v>
      </c>
      <c r="G125" s="146">
        <v>3.0</v>
      </c>
      <c r="H125" s="145" t="s">
        <v>64</v>
      </c>
      <c r="I125" s="150" t="s">
        <v>843</v>
      </c>
      <c r="J125" s="35" t="s">
        <v>945</v>
      </c>
      <c r="K125" s="230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B126" s="146" t="s">
        <v>851</v>
      </c>
      <c r="C126" s="146" t="s">
        <v>852</v>
      </c>
      <c r="D126" s="147">
        <v>37266.0</v>
      </c>
      <c r="E126" s="146" t="s">
        <v>950</v>
      </c>
      <c r="F126" s="146" t="s">
        <v>85</v>
      </c>
      <c r="G126" s="146">
        <v>3.0</v>
      </c>
      <c r="H126" s="145" t="s">
        <v>258</v>
      </c>
      <c r="I126" s="117" t="s">
        <v>485</v>
      </c>
      <c r="J126" s="35" t="s">
        <v>952</v>
      </c>
      <c r="K126" s="230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B127" s="146" t="s">
        <v>143</v>
      </c>
      <c r="C127" s="146" t="s">
        <v>862</v>
      </c>
      <c r="D127" s="154">
        <v>37280.0</v>
      </c>
      <c r="E127" s="288" t="s">
        <v>15</v>
      </c>
      <c r="F127" s="145" t="s">
        <v>290</v>
      </c>
      <c r="G127" s="146">
        <v>3.0</v>
      </c>
      <c r="H127" s="145" t="s">
        <v>955</v>
      </c>
      <c r="I127" s="205" t="s">
        <v>603</v>
      </c>
      <c r="J127" s="39" t="s">
        <v>956</v>
      </c>
      <c r="K127" s="230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B128" s="146" t="s">
        <v>567</v>
      </c>
      <c r="C128" s="146" t="s">
        <v>568</v>
      </c>
      <c r="D128" s="154">
        <v>37276.0</v>
      </c>
      <c r="E128" s="146" t="s">
        <v>962</v>
      </c>
      <c r="F128" s="146" t="s">
        <v>44</v>
      </c>
      <c r="G128" s="146">
        <v>3.0</v>
      </c>
      <c r="H128" s="145" t="s">
        <v>258</v>
      </c>
      <c r="I128" s="117" t="s">
        <v>965</v>
      </c>
      <c r="J128" s="164" t="s">
        <v>966</v>
      </c>
      <c r="K128" s="230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B129" s="146" t="s">
        <v>79</v>
      </c>
      <c r="C129" s="146" t="s">
        <v>969</v>
      </c>
      <c r="D129" s="154">
        <v>37268.0</v>
      </c>
      <c r="E129" s="146" t="s">
        <v>950</v>
      </c>
      <c r="F129" s="146" t="s">
        <v>48</v>
      </c>
      <c r="G129" s="146">
        <v>3.0</v>
      </c>
      <c r="H129" s="145" t="s">
        <v>258</v>
      </c>
      <c r="I129" s="150" t="s">
        <v>577</v>
      </c>
      <c r="J129" s="35" t="s">
        <v>971</v>
      </c>
      <c r="K129" s="291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B130" s="146" t="s">
        <v>211</v>
      </c>
      <c r="C130" s="146" t="s">
        <v>883</v>
      </c>
      <c r="D130" s="154">
        <v>37274.0</v>
      </c>
      <c r="E130" s="146" t="s">
        <v>31</v>
      </c>
      <c r="F130" s="146" t="s">
        <v>63</v>
      </c>
      <c r="G130" s="146">
        <v>3.0</v>
      </c>
      <c r="H130" s="234" t="s">
        <v>258</v>
      </c>
      <c r="I130" s="150" t="s">
        <v>581</v>
      </c>
      <c r="J130" s="292"/>
      <c r="K130" s="230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B131" s="146" t="s">
        <v>107</v>
      </c>
      <c r="C131" s="146" t="s">
        <v>890</v>
      </c>
      <c r="D131" s="154">
        <v>37270.0</v>
      </c>
      <c r="E131" s="146" t="s">
        <v>31</v>
      </c>
      <c r="F131" s="146" t="s">
        <v>189</v>
      </c>
      <c r="G131" s="146">
        <v>2.0</v>
      </c>
      <c r="H131" s="145" t="s">
        <v>976</v>
      </c>
      <c r="I131" s="293" t="s">
        <v>977</v>
      </c>
      <c r="J131" s="292"/>
      <c r="K131" s="294" t="s">
        <v>979</v>
      </c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B132" s="146" t="s">
        <v>200</v>
      </c>
      <c r="C132" s="146" t="s">
        <v>900</v>
      </c>
      <c r="D132" s="154">
        <v>37272.0</v>
      </c>
      <c r="E132" s="146" t="s">
        <v>31</v>
      </c>
      <c r="F132" s="146" t="s">
        <v>262</v>
      </c>
      <c r="G132" s="146">
        <v>1.5</v>
      </c>
      <c r="H132" s="145" t="s">
        <v>258</v>
      </c>
      <c r="I132" s="150" t="s">
        <v>266</v>
      </c>
      <c r="J132" s="256" t="s">
        <v>981</v>
      </c>
      <c r="K132" s="295" t="s">
        <v>982</v>
      </c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B133" s="145" t="s">
        <v>178</v>
      </c>
      <c r="C133" s="146" t="s">
        <v>912</v>
      </c>
      <c r="D133" s="154">
        <v>37278.0</v>
      </c>
      <c r="E133" s="146" t="s">
        <v>71</v>
      </c>
      <c r="F133" s="146" t="s">
        <v>48</v>
      </c>
      <c r="G133" s="145">
        <v>3.0</v>
      </c>
      <c r="H133" s="145" t="s">
        <v>258</v>
      </c>
      <c r="I133" s="150" t="s">
        <v>584</v>
      </c>
      <c r="J133" s="296" t="s">
        <v>987</v>
      </c>
      <c r="K133" s="230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B134" s="86" t="s">
        <v>167</v>
      </c>
      <c r="C134" s="13"/>
      <c r="D134" s="13"/>
      <c r="E134" s="13"/>
      <c r="F134" s="18"/>
      <c r="G134" s="88">
        <f>SUM(G124:G133)</f>
        <v>27.5</v>
      </c>
      <c r="H134" s="21"/>
      <c r="I134" s="21"/>
      <c r="J134" s="297"/>
      <c r="K134" s="21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92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92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100" t="s">
        <v>996</v>
      </c>
      <c r="B137" s="17" t="s">
        <v>996</v>
      </c>
      <c r="C137" s="13"/>
      <c r="D137" s="13"/>
      <c r="E137" s="13"/>
      <c r="F137" s="13"/>
      <c r="G137" s="13"/>
      <c r="H137" s="13"/>
      <c r="I137" s="13"/>
      <c r="J137" s="13"/>
      <c r="K137" s="18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B138" s="2" t="s">
        <v>1</v>
      </c>
      <c r="C138" s="2" t="s">
        <v>2</v>
      </c>
      <c r="D138" s="2" t="s">
        <v>3</v>
      </c>
      <c r="E138" s="2" t="s">
        <v>4</v>
      </c>
      <c r="F138" s="2" t="s">
        <v>5</v>
      </c>
      <c r="G138" s="2" t="s">
        <v>6</v>
      </c>
      <c r="H138" s="2" t="s">
        <v>7</v>
      </c>
      <c r="I138" s="27" t="s">
        <v>8</v>
      </c>
      <c r="J138" s="29" t="s">
        <v>9</v>
      </c>
      <c r="K138" s="27" t="s">
        <v>10</v>
      </c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B139" s="146" t="s">
        <v>45</v>
      </c>
      <c r="C139" s="146" t="s">
        <v>46</v>
      </c>
      <c r="D139" s="154">
        <v>37300.0</v>
      </c>
      <c r="E139" s="146" t="s">
        <v>15</v>
      </c>
      <c r="F139" s="146" t="s">
        <v>48</v>
      </c>
      <c r="G139" s="146">
        <v>3.0</v>
      </c>
      <c r="H139" s="234" t="s">
        <v>19</v>
      </c>
      <c r="I139" s="150" t="s">
        <v>694</v>
      </c>
      <c r="J139" s="36" t="s">
        <v>1004</v>
      </c>
      <c r="K139" s="21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B140" s="146" t="s">
        <v>838</v>
      </c>
      <c r="C140" s="146" t="s">
        <v>839</v>
      </c>
      <c r="D140" s="147">
        <v>37298.0</v>
      </c>
      <c r="E140" s="146" t="s">
        <v>15</v>
      </c>
      <c r="F140" s="146" t="s">
        <v>44</v>
      </c>
      <c r="G140" s="146">
        <v>3.0</v>
      </c>
      <c r="H140" s="234" t="s">
        <v>242</v>
      </c>
      <c r="I140" s="150" t="s">
        <v>843</v>
      </c>
      <c r="J140" s="46" t="s">
        <v>1007</v>
      </c>
      <c r="K140" s="21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B141" s="146" t="s">
        <v>851</v>
      </c>
      <c r="C141" s="146" t="s">
        <v>852</v>
      </c>
      <c r="D141" s="154">
        <v>37292.0</v>
      </c>
      <c r="E141" s="146" t="s">
        <v>71</v>
      </c>
      <c r="F141" s="146" t="s">
        <v>85</v>
      </c>
      <c r="G141" s="146">
        <v>3.0</v>
      </c>
      <c r="H141" s="234" t="s">
        <v>242</v>
      </c>
      <c r="I141" s="117" t="s">
        <v>485</v>
      </c>
      <c r="J141" s="46" t="s">
        <v>1010</v>
      </c>
      <c r="K141" s="21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B142" s="146" t="s">
        <v>143</v>
      </c>
      <c r="C142" s="146" t="s">
        <v>862</v>
      </c>
      <c r="D142" s="154">
        <v>37302.0</v>
      </c>
      <c r="E142" s="146" t="s">
        <v>24</v>
      </c>
      <c r="F142" s="146" t="s">
        <v>261</v>
      </c>
      <c r="G142" s="146">
        <v>3.0</v>
      </c>
      <c r="H142" s="145" t="s">
        <v>602</v>
      </c>
      <c r="I142" s="150" t="s">
        <v>603</v>
      </c>
      <c r="J142" s="303" t="s">
        <v>1013</v>
      </c>
      <c r="K142" s="21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B143" s="146" t="s">
        <v>567</v>
      </c>
      <c r="C143" s="146" t="s">
        <v>568</v>
      </c>
      <c r="D143" s="147">
        <v>37288.0</v>
      </c>
      <c r="E143" s="146" t="s">
        <v>31</v>
      </c>
      <c r="F143" s="146" t="s">
        <v>44</v>
      </c>
      <c r="G143" s="146">
        <v>3.0</v>
      </c>
      <c r="H143" s="234" t="s">
        <v>242</v>
      </c>
      <c r="I143" s="150" t="s">
        <v>872</v>
      </c>
      <c r="J143" s="189" t="s">
        <v>1015</v>
      </c>
      <c r="K143" s="21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B144" s="146" t="s">
        <v>79</v>
      </c>
      <c r="C144" s="146" t="s">
        <v>969</v>
      </c>
      <c r="D144" s="154">
        <v>37290.0</v>
      </c>
      <c r="E144" s="146" t="s">
        <v>31</v>
      </c>
      <c r="F144" s="146" t="s">
        <v>48</v>
      </c>
      <c r="G144" s="146">
        <v>3.0</v>
      </c>
      <c r="H144" s="145" t="s">
        <v>242</v>
      </c>
      <c r="I144" s="150" t="s">
        <v>577</v>
      </c>
      <c r="J144" s="164" t="s">
        <v>1018</v>
      </c>
      <c r="K144" s="21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B145" s="146" t="s">
        <v>211</v>
      </c>
      <c r="C145" s="146" t="s">
        <v>883</v>
      </c>
      <c r="D145" s="154">
        <v>37304.0</v>
      </c>
      <c r="E145" s="146" t="s">
        <v>24</v>
      </c>
      <c r="F145" s="146" t="s">
        <v>124</v>
      </c>
      <c r="G145" s="146">
        <v>3.0</v>
      </c>
      <c r="H145" s="234" t="s">
        <v>19</v>
      </c>
      <c r="I145" s="117" t="s">
        <v>1021</v>
      </c>
      <c r="J145" s="36" t="s">
        <v>1022</v>
      </c>
      <c r="K145" s="21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B146" s="146" t="s">
        <v>107</v>
      </c>
      <c r="C146" s="146" t="s">
        <v>890</v>
      </c>
      <c r="D146" s="154">
        <v>37296.0</v>
      </c>
      <c r="E146" s="146" t="s">
        <v>15</v>
      </c>
      <c r="F146" s="146" t="s">
        <v>556</v>
      </c>
      <c r="G146" s="146">
        <v>2.0</v>
      </c>
      <c r="H146" s="145" t="s">
        <v>976</v>
      </c>
      <c r="I146" s="150" t="s">
        <v>192</v>
      </c>
      <c r="J146" s="62" t="s">
        <v>1027</v>
      </c>
      <c r="K146" s="21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B147" s="146" t="s">
        <v>200</v>
      </c>
      <c r="C147" s="146" t="s">
        <v>900</v>
      </c>
      <c r="D147" s="154">
        <v>37286.0</v>
      </c>
      <c r="E147" s="146" t="s">
        <v>31</v>
      </c>
      <c r="F147" s="146" t="s">
        <v>100</v>
      </c>
      <c r="G147" s="146">
        <v>1.5</v>
      </c>
      <c r="H147" s="145" t="s">
        <v>242</v>
      </c>
      <c r="I147" s="150" t="s">
        <v>714</v>
      </c>
      <c r="J147" s="306" t="s">
        <v>1033</v>
      </c>
      <c r="K147" s="21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B148" s="145" t="s">
        <v>178</v>
      </c>
      <c r="C148" s="146" t="s">
        <v>912</v>
      </c>
      <c r="D148" s="147">
        <v>37294.0</v>
      </c>
      <c r="E148" s="146" t="s">
        <v>71</v>
      </c>
      <c r="F148" s="146" t="s">
        <v>255</v>
      </c>
      <c r="G148" s="145">
        <v>3.0</v>
      </c>
      <c r="H148" s="145" t="s">
        <v>242</v>
      </c>
      <c r="I148" s="307" t="s">
        <v>182</v>
      </c>
      <c r="J148" s="94" t="s">
        <v>1042</v>
      </c>
      <c r="K148" s="21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B149" s="86" t="s">
        <v>167</v>
      </c>
      <c r="C149" s="13"/>
      <c r="D149" s="13"/>
      <c r="E149" s="13"/>
      <c r="F149" s="18"/>
      <c r="G149" s="88">
        <f>SUM(G139:G148)</f>
        <v>27.5</v>
      </c>
      <c r="H149" s="21"/>
      <c r="I149" s="21"/>
      <c r="J149" s="90"/>
      <c r="K149" s="21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92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92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100" t="str">
        <f>B152</f>
        <v>MM 104</v>
      </c>
      <c r="B152" s="104" t="s">
        <v>1050</v>
      </c>
      <c r="C152" s="13"/>
      <c r="D152" s="13"/>
      <c r="E152" s="13"/>
      <c r="F152" s="13"/>
      <c r="G152" s="13"/>
      <c r="H152" s="13"/>
      <c r="I152" s="13"/>
      <c r="J152" s="13"/>
      <c r="K152" s="18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B153" s="2" t="s">
        <v>1</v>
      </c>
      <c r="C153" s="2" t="s">
        <v>2</v>
      </c>
      <c r="D153" s="2" t="s">
        <v>3</v>
      </c>
      <c r="E153" s="2" t="s">
        <v>4</v>
      </c>
      <c r="F153" s="2" t="s">
        <v>5</v>
      </c>
      <c r="G153" s="2" t="s">
        <v>6</v>
      </c>
      <c r="H153" s="2" t="s">
        <v>7</v>
      </c>
      <c r="I153" s="27" t="s">
        <v>8</v>
      </c>
      <c r="J153" s="29" t="s">
        <v>9</v>
      </c>
      <c r="K153" s="27" t="s">
        <v>10</v>
      </c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B154" s="146" t="s">
        <v>45</v>
      </c>
      <c r="C154" s="146" t="s">
        <v>46</v>
      </c>
      <c r="D154" s="154">
        <v>37318.0</v>
      </c>
      <c r="E154" s="146" t="s">
        <v>71</v>
      </c>
      <c r="F154" s="146" t="s">
        <v>48</v>
      </c>
      <c r="G154" s="146">
        <v>3.0</v>
      </c>
      <c r="H154" s="234" t="s">
        <v>64</v>
      </c>
      <c r="I154" s="136" t="s">
        <v>302</v>
      </c>
      <c r="J154" s="312" t="s">
        <v>1059</v>
      </c>
      <c r="K154" s="230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B155" s="146" t="s">
        <v>838</v>
      </c>
      <c r="C155" s="146" t="s">
        <v>839</v>
      </c>
      <c r="D155" s="147">
        <v>37306.0</v>
      </c>
      <c r="E155" s="146" t="s">
        <v>1064</v>
      </c>
      <c r="F155" s="146" t="s">
        <v>261</v>
      </c>
      <c r="G155" s="146">
        <v>3.0</v>
      </c>
      <c r="H155" s="145" t="s">
        <v>242</v>
      </c>
      <c r="I155" s="313" t="s">
        <v>241</v>
      </c>
      <c r="J155" s="56" t="s">
        <v>1067</v>
      </c>
      <c r="K155" s="230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B156" s="146" t="s">
        <v>851</v>
      </c>
      <c r="C156" s="146" t="s">
        <v>852</v>
      </c>
      <c r="D156" s="147">
        <v>37308.0</v>
      </c>
      <c r="E156" s="146" t="s">
        <v>1064</v>
      </c>
      <c r="F156" s="146" t="s">
        <v>124</v>
      </c>
      <c r="G156" s="146">
        <v>3.0</v>
      </c>
      <c r="H156" s="145" t="s">
        <v>242</v>
      </c>
      <c r="I156" s="240" t="s">
        <v>485</v>
      </c>
      <c r="J156" s="35" t="s">
        <v>1076</v>
      </c>
      <c r="K156" s="230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B157" s="146" t="s">
        <v>143</v>
      </c>
      <c r="C157" s="146" t="s">
        <v>862</v>
      </c>
      <c r="D157" s="154">
        <v>37310.0</v>
      </c>
      <c r="E157" s="145" t="s">
        <v>145</v>
      </c>
      <c r="F157" s="145" t="s">
        <v>261</v>
      </c>
      <c r="G157" s="146">
        <v>3.0</v>
      </c>
      <c r="H157" s="145" t="s">
        <v>955</v>
      </c>
      <c r="I157" s="145" t="s">
        <v>603</v>
      </c>
      <c r="J157" s="315" t="s">
        <v>1082</v>
      </c>
      <c r="K157" s="230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B158" s="146" t="s">
        <v>567</v>
      </c>
      <c r="C158" s="146" t="s">
        <v>568</v>
      </c>
      <c r="D158" s="147">
        <v>37314.0</v>
      </c>
      <c r="E158" s="146" t="s">
        <v>71</v>
      </c>
      <c r="F158" s="146" t="s">
        <v>63</v>
      </c>
      <c r="G158" s="146">
        <v>3.0</v>
      </c>
      <c r="H158" s="145" t="s">
        <v>64</v>
      </c>
      <c r="I158" s="316" t="s">
        <v>125</v>
      </c>
      <c r="J158" s="318" t="s">
        <v>1083</v>
      </c>
      <c r="K158" s="230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B159" s="146" t="s">
        <v>79</v>
      </c>
      <c r="C159" s="146" t="s">
        <v>969</v>
      </c>
      <c r="D159" s="154">
        <v>37316.0</v>
      </c>
      <c r="E159" s="146" t="s">
        <v>71</v>
      </c>
      <c r="F159" s="146" t="s">
        <v>44</v>
      </c>
      <c r="G159" s="146">
        <v>3.0</v>
      </c>
      <c r="H159" s="145" t="s">
        <v>64</v>
      </c>
      <c r="I159" s="146" t="s">
        <v>577</v>
      </c>
      <c r="J159" s="320" t="s">
        <v>1085</v>
      </c>
      <c r="K159" s="230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B160" s="146" t="s">
        <v>211</v>
      </c>
      <c r="C160" s="146" t="s">
        <v>883</v>
      </c>
      <c r="D160" s="154">
        <v>37320.0</v>
      </c>
      <c r="E160" s="146" t="s">
        <v>1087</v>
      </c>
      <c r="F160" s="146" t="s">
        <v>290</v>
      </c>
      <c r="G160" s="146">
        <v>3.0</v>
      </c>
      <c r="H160" s="234" t="s">
        <v>242</v>
      </c>
      <c r="I160" s="321" t="s">
        <v>172</v>
      </c>
      <c r="J160" s="292"/>
      <c r="K160" s="230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B161" s="146" t="s">
        <v>107</v>
      </c>
      <c r="C161" s="146" t="s">
        <v>890</v>
      </c>
      <c r="D161" s="154">
        <v>37312.0</v>
      </c>
      <c r="E161" s="146" t="s">
        <v>145</v>
      </c>
      <c r="F161" s="146" t="s">
        <v>925</v>
      </c>
      <c r="G161" s="146">
        <v>2.0</v>
      </c>
      <c r="H161" s="145" t="s">
        <v>893</v>
      </c>
      <c r="I161" s="146" t="s">
        <v>406</v>
      </c>
      <c r="J161" s="39" t="s">
        <v>1094</v>
      </c>
      <c r="K161" s="230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B162" s="146" t="s">
        <v>200</v>
      </c>
      <c r="C162" s="146" t="s">
        <v>900</v>
      </c>
      <c r="D162" s="154">
        <v>37322.0</v>
      </c>
      <c r="E162" s="146" t="s">
        <v>1087</v>
      </c>
      <c r="F162" s="146" t="s">
        <v>1098</v>
      </c>
      <c r="G162" s="146">
        <v>1.5</v>
      </c>
      <c r="H162" s="145" t="s">
        <v>242</v>
      </c>
      <c r="I162" s="321" t="s">
        <v>526</v>
      </c>
      <c r="J162" s="74" t="s">
        <v>1100</v>
      </c>
      <c r="K162" s="260" t="s">
        <v>1101</v>
      </c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B163" s="324"/>
      <c r="C163" s="230"/>
      <c r="D163" s="230"/>
      <c r="E163" s="230"/>
      <c r="F163" s="230"/>
      <c r="G163" s="324"/>
      <c r="H163" s="324"/>
      <c r="I163" s="291"/>
      <c r="J163" s="53"/>
      <c r="K163" s="230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B164" s="86" t="s">
        <v>167</v>
      </c>
      <c r="C164" s="13"/>
      <c r="D164" s="13"/>
      <c r="E164" s="13"/>
      <c r="F164" s="18"/>
      <c r="G164" s="88">
        <f>SUM(G154:G163)</f>
        <v>24.5</v>
      </c>
      <c r="H164" s="21"/>
      <c r="I164" s="21"/>
      <c r="J164" s="90"/>
      <c r="K164" s="21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100"/>
      <c r="B165" s="95"/>
      <c r="C165" s="95"/>
      <c r="D165" s="95"/>
      <c r="E165" s="95"/>
      <c r="F165" s="95"/>
      <c r="G165" s="88"/>
      <c r="H165" s="21"/>
      <c r="I165" s="21"/>
      <c r="J165" s="90"/>
      <c r="K165" s="21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100"/>
      <c r="B166" s="95"/>
      <c r="C166" s="95"/>
      <c r="D166" s="95"/>
      <c r="E166" s="95"/>
      <c r="F166" s="95"/>
      <c r="G166" s="88"/>
      <c r="H166" s="21"/>
      <c r="I166" s="21"/>
      <c r="J166" s="90"/>
      <c r="K166" s="21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100" t="str">
        <f>B167</f>
        <v>MM 201</v>
      </c>
      <c r="B167" s="104" t="s">
        <v>1126</v>
      </c>
      <c r="C167" s="13"/>
      <c r="D167" s="13"/>
      <c r="E167" s="13"/>
      <c r="F167" s="13"/>
      <c r="G167" s="13"/>
      <c r="H167" s="13"/>
      <c r="I167" s="13"/>
      <c r="J167" s="13"/>
      <c r="K167" s="18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B168" s="2" t="s">
        <v>1</v>
      </c>
      <c r="C168" s="2" t="s">
        <v>2</v>
      </c>
      <c r="D168" s="2" t="s">
        <v>3</v>
      </c>
      <c r="E168" s="2" t="s">
        <v>4</v>
      </c>
      <c r="F168" s="2" t="s">
        <v>5</v>
      </c>
      <c r="G168" s="2" t="s">
        <v>6</v>
      </c>
      <c r="H168" s="106" t="s">
        <v>210</v>
      </c>
      <c r="I168" s="27" t="s">
        <v>8</v>
      </c>
      <c r="J168" s="29" t="s">
        <v>9</v>
      </c>
      <c r="K168" s="27" t="s">
        <v>10</v>
      </c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B169" s="145" t="s">
        <v>1133</v>
      </c>
      <c r="C169" s="146" t="s">
        <v>1134</v>
      </c>
      <c r="D169" s="147">
        <v>37324.0</v>
      </c>
      <c r="E169" s="145" t="s">
        <v>83</v>
      </c>
      <c r="F169" s="146" t="s">
        <v>261</v>
      </c>
      <c r="G169" s="329">
        <v>3.0</v>
      </c>
      <c r="H169" s="224" t="s">
        <v>1137</v>
      </c>
      <c r="I169" s="150" t="s">
        <v>766</v>
      </c>
      <c r="J169" s="310" t="s">
        <v>1139</v>
      </c>
      <c r="K169" s="21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B170" s="145" t="s">
        <v>1142</v>
      </c>
      <c r="C170" s="146" t="s">
        <v>1143</v>
      </c>
      <c r="D170" s="154">
        <v>37330.0</v>
      </c>
      <c r="E170" s="145" t="s">
        <v>83</v>
      </c>
      <c r="F170" s="146" t="s">
        <v>48</v>
      </c>
      <c r="G170" s="329">
        <v>3.0</v>
      </c>
      <c r="H170" s="330" t="s">
        <v>239</v>
      </c>
      <c r="I170" s="117" t="s">
        <v>657</v>
      </c>
      <c r="J170" s="331" t="s">
        <v>1147</v>
      </c>
      <c r="K170" s="332" t="s">
        <v>31</v>
      </c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B171" s="145" t="s">
        <v>762</v>
      </c>
      <c r="C171" s="146" t="s">
        <v>764</v>
      </c>
      <c r="D171" s="154">
        <v>37328.0</v>
      </c>
      <c r="E171" s="145" t="s">
        <v>83</v>
      </c>
      <c r="F171" s="146" t="s">
        <v>44</v>
      </c>
      <c r="G171" s="329">
        <v>3.0</v>
      </c>
      <c r="H171" s="330" t="s">
        <v>239</v>
      </c>
      <c r="I171" s="150" t="s">
        <v>1155</v>
      </c>
      <c r="J171" s="77" t="s">
        <v>1156</v>
      </c>
      <c r="K171" s="21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B172" s="145" t="s">
        <v>116</v>
      </c>
      <c r="C172" s="146" t="s">
        <v>117</v>
      </c>
      <c r="D172" s="154">
        <v>37336.0</v>
      </c>
      <c r="E172" s="145" t="s">
        <v>71</v>
      </c>
      <c r="F172" s="146" t="s">
        <v>261</v>
      </c>
      <c r="G172" s="329">
        <v>3.0</v>
      </c>
      <c r="H172" s="330" t="s">
        <v>239</v>
      </c>
      <c r="I172" s="117" t="s">
        <v>1162</v>
      </c>
      <c r="J172" s="182"/>
      <c r="K172" s="21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B173" s="145" t="s">
        <v>385</v>
      </c>
      <c r="C173" s="146" t="s">
        <v>387</v>
      </c>
      <c r="D173" s="154">
        <v>37338.0</v>
      </c>
      <c r="E173" s="145" t="s">
        <v>71</v>
      </c>
      <c r="F173" s="146" t="s">
        <v>124</v>
      </c>
      <c r="G173" s="329">
        <v>3.0</v>
      </c>
      <c r="H173" s="330" t="s">
        <v>239</v>
      </c>
      <c r="I173" s="336" t="s">
        <v>382</v>
      </c>
      <c r="J173" s="297"/>
      <c r="K173" s="21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B174" s="145" t="s">
        <v>119</v>
      </c>
      <c r="C174" s="146" t="s">
        <v>120</v>
      </c>
      <c r="D174" s="154">
        <v>37340.0</v>
      </c>
      <c r="E174" s="145" t="s">
        <v>81</v>
      </c>
      <c r="F174" s="146" t="s">
        <v>261</v>
      </c>
      <c r="G174" s="329">
        <v>3.0</v>
      </c>
      <c r="H174" s="330" t="s">
        <v>239</v>
      </c>
      <c r="I174" s="150" t="s">
        <v>1180</v>
      </c>
      <c r="J174" s="337" t="s">
        <v>1181</v>
      </c>
      <c r="K174" s="21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B175" s="145" t="s">
        <v>1183</v>
      </c>
      <c r="C175" s="146" t="s">
        <v>1185</v>
      </c>
      <c r="D175" s="154">
        <v>37326.0</v>
      </c>
      <c r="E175" s="145" t="s">
        <v>83</v>
      </c>
      <c r="F175" s="146" t="s">
        <v>124</v>
      </c>
      <c r="G175" s="329">
        <v>3.0</v>
      </c>
      <c r="H175" s="330" t="s">
        <v>239</v>
      </c>
      <c r="I175" s="150" t="s">
        <v>733</v>
      </c>
      <c r="J175" s="339" t="s">
        <v>1187</v>
      </c>
      <c r="K175" s="21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B176" s="145" t="s">
        <v>403</v>
      </c>
      <c r="C176" s="146" t="s">
        <v>404</v>
      </c>
      <c r="D176" s="154">
        <v>37332.0</v>
      </c>
      <c r="E176" s="145" t="s">
        <v>31</v>
      </c>
      <c r="F176" s="146" t="s">
        <v>586</v>
      </c>
      <c r="G176" s="329">
        <v>2.0</v>
      </c>
      <c r="H176" s="145" t="s">
        <v>111</v>
      </c>
      <c r="I176" s="207" t="s">
        <v>1189</v>
      </c>
      <c r="J176" s="341" t="s">
        <v>1190</v>
      </c>
      <c r="K176" s="21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B177" s="145" t="s">
        <v>710</v>
      </c>
      <c r="C177" s="146" t="s">
        <v>711</v>
      </c>
      <c r="D177" s="154">
        <v>37342.0</v>
      </c>
      <c r="E177" s="145" t="s">
        <v>81</v>
      </c>
      <c r="F177" s="146" t="s">
        <v>413</v>
      </c>
      <c r="G177" s="329">
        <v>1.5</v>
      </c>
      <c r="H177" s="330" t="s">
        <v>239</v>
      </c>
      <c r="I177" s="180" t="s">
        <v>1192</v>
      </c>
      <c r="J177" s="139" t="s">
        <v>1193</v>
      </c>
      <c r="K177" s="21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B178" s="86" t="s">
        <v>167</v>
      </c>
      <c r="C178" s="13"/>
      <c r="D178" s="13"/>
      <c r="E178" s="13"/>
      <c r="F178" s="18"/>
      <c r="G178" s="88">
        <f>SUM(G169:G177)</f>
        <v>24.5</v>
      </c>
      <c r="H178" s="21"/>
      <c r="I178" s="21"/>
      <c r="J178" s="90"/>
      <c r="K178" s="21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B179" s="5"/>
      <c r="C179" s="5"/>
      <c r="D179" s="5"/>
      <c r="E179" s="5"/>
      <c r="F179" s="5"/>
      <c r="G179" s="5"/>
      <c r="H179" s="5"/>
      <c r="I179" s="5"/>
      <c r="J179" s="92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92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100" t="s">
        <v>1210</v>
      </c>
      <c r="B181" s="17" t="s">
        <v>1210</v>
      </c>
      <c r="C181" s="13"/>
      <c r="D181" s="13"/>
      <c r="E181" s="13"/>
      <c r="F181" s="13"/>
      <c r="G181" s="13"/>
      <c r="H181" s="13"/>
      <c r="I181" s="13"/>
      <c r="J181" s="13"/>
      <c r="K181" s="18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B182" s="2" t="s">
        <v>1</v>
      </c>
      <c r="C182" s="2" t="s">
        <v>2</v>
      </c>
      <c r="D182" s="2" t="s">
        <v>3</v>
      </c>
      <c r="E182" s="2" t="s">
        <v>4</v>
      </c>
      <c r="F182" s="2" t="s">
        <v>5</v>
      </c>
      <c r="G182" s="2" t="s">
        <v>6</v>
      </c>
      <c r="H182" s="106" t="s">
        <v>7</v>
      </c>
      <c r="I182" s="27" t="s">
        <v>8</v>
      </c>
      <c r="J182" s="29" t="s">
        <v>9</v>
      </c>
      <c r="K182" s="27" t="s">
        <v>10</v>
      </c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B183" s="145" t="s">
        <v>1133</v>
      </c>
      <c r="C183" s="146" t="s">
        <v>1134</v>
      </c>
      <c r="D183" s="147">
        <v>37348.0</v>
      </c>
      <c r="E183" s="146" t="s">
        <v>31</v>
      </c>
      <c r="F183" s="145" t="s">
        <v>261</v>
      </c>
      <c r="G183" s="329">
        <v>3.0</v>
      </c>
      <c r="H183" s="224" t="s">
        <v>1224</v>
      </c>
      <c r="I183" s="150" t="s">
        <v>766</v>
      </c>
      <c r="J183" s="39" t="s">
        <v>1225</v>
      </c>
      <c r="K183" s="230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B184" s="145" t="s">
        <v>1142</v>
      </c>
      <c r="C184" s="146" t="s">
        <v>1143</v>
      </c>
      <c r="D184" s="154">
        <v>37364.0</v>
      </c>
      <c r="E184" s="146" t="s">
        <v>54</v>
      </c>
      <c r="F184" s="145" t="s">
        <v>48</v>
      </c>
      <c r="G184" s="329">
        <v>3.0</v>
      </c>
      <c r="H184" s="330" t="s">
        <v>574</v>
      </c>
      <c r="I184" s="117" t="s">
        <v>132</v>
      </c>
      <c r="J184" s="164" t="s">
        <v>1226</v>
      </c>
      <c r="K184" s="258" t="s">
        <v>44</v>
      </c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B185" s="145" t="s">
        <v>762</v>
      </c>
      <c r="C185" s="146" t="s">
        <v>764</v>
      </c>
      <c r="D185" s="154">
        <v>37354.0</v>
      </c>
      <c r="E185" s="146" t="s">
        <v>31</v>
      </c>
      <c r="F185" s="145" t="s">
        <v>44</v>
      </c>
      <c r="G185" s="329">
        <v>3.0</v>
      </c>
      <c r="H185" s="330" t="s">
        <v>574</v>
      </c>
      <c r="I185" s="117" t="s">
        <v>843</v>
      </c>
      <c r="J185" s="349" t="s">
        <v>1229</v>
      </c>
      <c r="K185" s="230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B186" s="145" t="s">
        <v>116</v>
      </c>
      <c r="C186" s="146" t="s">
        <v>117</v>
      </c>
      <c r="D186" s="154">
        <v>37358.0</v>
      </c>
      <c r="E186" s="146" t="s">
        <v>71</v>
      </c>
      <c r="F186" s="145" t="s">
        <v>124</v>
      </c>
      <c r="G186" s="329">
        <v>3.0</v>
      </c>
      <c r="H186" s="330" t="s">
        <v>574</v>
      </c>
      <c r="I186" s="150" t="s">
        <v>1231</v>
      </c>
      <c r="J186" s="292"/>
      <c r="K186" s="230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B187" s="145" t="s">
        <v>385</v>
      </c>
      <c r="C187" s="146" t="s">
        <v>387</v>
      </c>
      <c r="D187" s="154">
        <v>37356.0</v>
      </c>
      <c r="E187" s="146" t="s">
        <v>71</v>
      </c>
      <c r="F187" s="145" t="s">
        <v>261</v>
      </c>
      <c r="G187" s="329">
        <v>3.0</v>
      </c>
      <c r="H187" s="330" t="s">
        <v>574</v>
      </c>
      <c r="I187" s="336" t="s">
        <v>382</v>
      </c>
      <c r="J187" s="292"/>
      <c r="K187" s="230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B188" s="145" t="s">
        <v>119</v>
      </c>
      <c r="C188" s="146" t="s">
        <v>120</v>
      </c>
      <c r="D188" s="154">
        <v>37362.0</v>
      </c>
      <c r="E188" s="146" t="s">
        <v>54</v>
      </c>
      <c r="F188" s="145" t="s">
        <v>44</v>
      </c>
      <c r="G188" s="329">
        <v>3.0</v>
      </c>
      <c r="H188" s="330" t="s">
        <v>574</v>
      </c>
      <c r="I188" s="293" t="s">
        <v>1235</v>
      </c>
      <c r="J188" s="352" t="s">
        <v>1236</v>
      </c>
      <c r="K188" s="258" t="s">
        <v>63</v>
      </c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B189" s="145" t="s">
        <v>1183</v>
      </c>
      <c r="C189" s="146" t="s">
        <v>1185</v>
      </c>
      <c r="D189" s="154">
        <v>37350.0</v>
      </c>
      <c r="E189" s="146" t="s">
        <v>31</v>
      </c>
      <c r="F189" s="145" t="s">
        <v>63</v>
      </c>
      <c r="G189" s="329">
        <v>3.0</v>
      </c>
      <c r="H189" s="330" t="s">
        <v>574</v>
      </c>
      <c r="I189" s="150" t="s">
        <v>733</v>
      </c>
      <c r="J189" s="339" t="s">
        <v>1238</v>
      </c>
      <c r="K189" s="230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B190" s="145" t="s">
        <v>403</v>
      </c>
      <c r="C190" s="146" t="s">
        <v>404</v>
      </c>
      <c r="D190" s="154">
        <v>37344.0</v>
      </c>
      <c r="E190" s="146" t="s">
        <v>83</v>
      </c>
      <c r="F190" s="145" t="s">
        <v>189</v>
      </c>
      <c r="G190" s="329">
        <v>2.0</v>
      </c>
      <c r="H190" s="330" t="s">
        <v>111</v>
      </c>
      <c r="I190" s="150" t="s">
        <v>406</v>
      </c>
      <c r="J190" s="39" t="s">
        <v>1240</v>
      </c>
      <c r="K190" s="230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B191" s="145" t="s">
        <v>710</v>
      </c>
      <c r="C191" s="146" t="s">
        <v>711</v>
      </c>
      <c r="D191" s="154">
        <v>37346.0</v>
      </c>
      <c r="E191" s="146" t="s">
        <v>83</v>
      </c>
      <c r="F191" s="145" t="s">
        <v>262</v>
      </c>
      <c r="G191" s="329">
        <v>1.5</v>
      </c>
      <c r="H191" s="330" t="s">
        <v>574</v>
      </c>
      <c r="I191" s="150" t="s">
        <v>1244</v>
      </c>
      <c r="J191" s="164" t="s">
        <v>1245</v>
      </c>
      <c r="K191" s="260" t="s">
        <v>1247</v>
      </c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B192" s="86" t="s">
        <v>167</v>
      </c>
      <c r="C192" s="13"/>
      <c r="D192" s="13"/>
      <c r="E192" s="13"/>
      <c r="F192" s="18"/>
      <c r="G192" s="88">
        <f>SUM(G183:G191)</f>
        <v>24.5</v>
      </c>
      <c r="H192" s="21"/>
      <c r="I192" s="354"/>
      <c r="J192" s="355"/>
      <c r="K192" s="354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253"/>
      <c r="J193" s="356"/>
      <c r="K193" s="253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92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100" t="s">
        <v>1260</v>
      </c>
      <c r="B195" s="17" t="s">
        <v>1260</v>
      </c>
      <c r="C195" s="13"/>
      <c r="D195" s="13"/>
      <c r="E195" s="13"/>
      <c r="F195" s="13"/>
      <c r="G195" s="13"/>
      <c r="H195" s="13"/>
      <c r="I195" s="13"/>
      <c r="J195" s="13"/>
      <c r="K195" s="18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B196" s="2" t="s">
        <v>1</v>
      </c>
      <c r="C196" s="2" t="s">
        <v>2</v>
      </c>
      <c r="D196" s="2" t="s">
        <v>3</v>
      </c>
      <c r="E196" s="2" t="s">
        <v>4</v>
      </c>
      <c r="F196" s="2" t="s">
        <v>5</v>
      </c>
      <c r="G196" s="2" t="s">
        <v>6</v>
      </c>
      <c r="H196" s="106" t="s">
        <v>7</v>
      </c>
      <c r="I196" s="27" t="s">
        <v>8</v>
      </c>
      <c r="J196" s="29" t="s">
        <v>9</v>
      </c>
      <c r="K196" s="27" t="s">
        <v>10</v>
      </c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B197" s="145" t="s">
        <v>1133</v>
      </c>
      <c r="C197" s="146" t="s">
        <v>1134</v>
      </c>
      <c r="D197" s="154">
        <v>37376.0</v>
      </c>
      <c r="E197" s="205" t="s">
        <v>81</v>
      </c>
      <c r="F197" s="150" t="s">
        <v>44</v>
      </c>
      <c r="G197" s="329">
        <v>3.0</v>
      </c>
      <c r="H197" s="224" t="s">
        <v>1137</v>
      </c>
      <c r="I197" s="150" t="s">
        <v>766</v>
      </c>
      <c r="J197" s="359" t="s">
        <v>1270</v>
      </c>
      <c r="K197" s="291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B198" s="145" t="s">
        <v>1142</v>
      </c>
      <c r="C198" s="146" t="s">
        <v>1143</v>
      </c>
      <c r="D198" s="154">
        <v>37380.0</v>
      </c>
      <c r="E198" s="205" t="s">
        <v>24</v>
      </c>
      <c r="F198" s="150" t="s">
        <v>160</v>
      </c>
      <c r="G198" s="329">
        <v>3.0</v>
      </c>
      <c r="H198" s="240" t="s">
        <v>376</v>
      </c>
      <c r="I198" s="150" t="s">
        <v>872</v>
      </c>
      <c r="J198" s="361" t="s">
        <v>1273</v>
      </c>
      <c r="K198" s="291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B199" s="145" t="s">
        <v>762</v>
      </c>
      <c r="C199" s="146" t="s">
        <v>764</v>
      </c>
      <c r="D199" s="154">
        <v>37384.0</v>
      </c>
      <c r="E199" s="205" t="s">
        <v>24</v>
      </c>
      <c r="F199" s="150" t="s">
        <v>44</v>
      </c>
      <c r="G199" s="329">
        <v>3.0</v>
      </c>
      <c r="H199" s="240" t="s">
        <v>376</v>
      </c>
      <c r="I199" s="150" t="s">
        <v>1155</v>
      </c>
      <c r="J199" s="77" t="s">
        <v>1274</v>
      </c>
      <c r="K199" s="291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B200" s="145" t="s">
        <v>116</v>
      </c>
      <c r="C200" s="146" t="s">
        <v>117</v>
      </c>
      <c r="D200" s="154">
        <v>37372.0</v>
      </c>
      <c r="E200" s="205" t="s">
        <v>71</v>
      </c>
      <c r="F200" s="150" t="s">
        <v>85</v>
      </c>
      <c r="G200" s="329">
        <v>3.0</v>
      </c>
      <c r="H200" s="240" t="s">
        <v>376</v>
      </c>
      <c r="I200" s="150" t="s">
        <v>1231</v>
      </c>
      <c r="J200" s="297"/>
      <c r="K200" s="362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B201" s="145" t="s">
        <v>385</v>
      </c>
      <c r="C201" s="146" t="s">
        <v>387</v>
      </c>
      <c r="D201" s="154">
        <v>37374.0</v>
      </c>
      <c r="E201" s="205" t="s">
        <v>71</v>
      </c>
      <c r="F201" s="150" t="s">
        <v>1276</v>
      </c>
      <c r="G201" s="329">
        <v>3.0</v>
      </c>
      <c r="H201" s="240" t="s">
        <v>376</v>
      </c>
      <c r="I201" s="336" t="s">
        <v>382</v>
      </c>
      <c r="J201" s="292"/>
      <c r="K201" s="362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B202" s="145" t="s">
        <v>119</v>
      </c>
      <c r="C202" s="146" t="s">
        <v>120</v>
      </c>
      <c r="D202" s="154">
        <v>37378.0</v>
      </c>
      <c r="E202" s="205" t="s">
        <v>81</v>
      </c>
      <c r="F202" s="150" t="s">
        <v>48</v>
      </c>
      <c r="G202" s="329">
        <v>3.0</v>
      </c>
      <c r="H202" s="240" t="s">
        <v>376</v>
      </c>
      <c r="I202" s="150" t="s">
        <v>301</v>
      </c>
      <c r="J202" s="359" t="s">
        <v>1279</v>
      </c>
      <c r="K202" s="291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B203" s="145" t="s">
        <v>1183</v>
      </c>
      <c r="C203" s="146" t="s">
        <v>1185</v>
      </c>
      <c r="D203" s="154">
        <v>37382.0</v>
      </c>
      <c r="E203" s="205" t="s">
        <v>24</v>
      </c>
      <c r="F203" s="150" t="s">
        <v>63</v>
      </c>
      <c r="G203" s="329">
        <v>3.0</v>
      </c>
      <c r="H203" s="240" t="s">
        <v>376</v>
      </c>
      <c r="I203" s="188" t="s">
        <v>733</v>
      </c>
      <c r="J203" s="186" t="s">
        <v>1284</v>
      </c>
      <c r="K203" s="291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B204" s="145" t="s">
        <v>403</v>
      </c>
      <c r="C204" s="146" t="s">
        <v>404</v>
      </c>
      <c r="D204" s="154">
        <v>37368.0</v>
      </c>
      <c r="E204" s="205" t="s">
        <v>31</v>
      </c>
      <c r="F204" s="150" t="s">
        <v>556</v>
      </c>
      <c r="G204" s="329">
        <v>2.0</v>
      </c>
      <c r="H204" s="145" t="s">
        <v>312</v>
      </c>
      <c r="I204" s="150" t="s">
        <v>192</v>
      </c>
      <c r="J204" s="138" t="s">
        <v>1289</v>
      </c>
      <c r="K204" s="291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B205" s="145" t="s">
        <v>710</v>
      </c>
      <c r="C205" s="146" t="s">
        <v>711</v>
      </c>
      <c r="D205" s="154">
        <v>37370.0</v>
      </c>
      <c r="E205" s="205" t="s">
        <v>31</v>
      </c>
      <c r="F205" s="150" t="s">
        <v>1297</v>
      </c>
      <c r="G205" s="329">
        <v>1.5</v>
      </c>
      <c r="H205" s="240" t="s">
        <v>376</v>
      </c>
      <c r="I205" s="188" t="s">
        <v>1244</v>
      </c>
      <c r="J205" s="139" t="s">
        <v>1299</v>
      </c>
      <c r="K205" s="364" t="s">
        <v>1300</v>
      </c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B206" s="86" t="s">
        <v>167</v>
      </c>
      <c r="C206" s="13"/>
      <c r="D206" s="13"/>
      <c r="E206" s="13"/>
      <c r="F206" s="18"/>
      <c r="G206" s="88">
        <f>SUM(G197:G205)</f>
        <v>24.5</v>
      </c>
      <c r="H206" s="21"/>
      <c r="I206" s="21"/>
      <c r="J206" s="90"/>
      <c r="K206" s="21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92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92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92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92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100" t="s">
        <v>1307</v>
      </c>
      <c r="B211" s="17" t="s">
        <v>1307</v>
      </c>
      <c r="C211" s="13"/>
      <c r="D211" s="13"/>
      <c r="E211" s="13"/>
      <c r="F211" s="13"/>
      <c r="G211" s="13"/>
      <c r="H211" s="13"/>
      <c r="I211" s="13"/>
      <c r="J211" s="13"/>
      <c r="K211" s="18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B212" s="2" t="s">
        <v>1</v>
      </c>
      <c r="C212" s="2" t="s">
        <v>2</v>
      </c>
      <c r="D212" s="2" t="s">
        <v>3</v>
      </c>
      <c r="E212" s="2" t="s">
        <v>4</v>
      </c>
      <c r="F212" s="2" t="s">
        <v>5</v>
      </c>
      <c r="G212" s="2" t="s">
        <v>6</v>
      </c>
      <c r="H212" s="30" t="s">
        <v>7</v>
      </c>
      <c r="I212" s="27" t="s">
        <v>8</v>
      </c>
      <c r="J212" s="29" t="s">
        <v>9</v>
      </c>
      <c r="K212" s="27" t="s">
        <v>10</v>
      </c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B213" s="146" t="s">
        <v>762</v>
      </c>
      <c r="C213" s="146" t="s">
        <v>764</v>
      </c>
      <c r="D213" s="147">
        <v>37387.0</v>
      </c>
      <c r="E213" s="145" t="s">
        <v>83</v>
      </c>
      <c r="F213" s="146" t="s">
        <v>124</v>
      </c>
      <c r="G213" s="146">
        <v>3.0</v>
      </c>
      <c r="H213" s="145" t="s">
        <v>205</v>
      </c>
      <c r="I213" s="150" t="s">
        <v>766</v>
      </c>
      <c r="J213" s="138" t="s">
        <v>1315</v>
      </c>
      <c r="K213" s="230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B214" s="146" t="s">
        <v>1316</v>
      </c>
      <c r="C214" s="146" t="s">
        <v>1317</v>
      </c>
      <c r="D214" s="147">
        <v>37395.0</v>
      </c>
      <c r="E214" s="145" t="s">
        <v>71</v>
      </c>
      <c r="F214" s="146" t="s">
        <v>44</v>
      </c>
      <c r="G214" s="146">
        <v>3.0</v>
      </c>
      <c r="H214" s="145" t="s">
        <v>58</v>
      </c>
      <c r="I214" s="150" t="s">
        <v>52</v>
      </c>
      <c r="J214" s="256" t="s">
        <v>1318</v>
      </c>
      <c r="K214" s="230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B215" s="146" t="s">
        <v>1319</v>
      </c>
      <c r="C215" s="146" t="s">
        <v>1320</v>
      </c>
      <c r="D215" s="147">
        <v>37389.0</v>
      </c>
      <c r="E215" s="145" t="s">
        <v>83</v>
      </c>
      <c r="F215" s="146" t="s">
        <v>85</v>
      </c>
      <c r="G215" s="146">
        <v>3.0</v>
      </c>
      <c r="H215" s="145" t="s">
        <v>205</v>
      </c>
      <c r="I215" s="150" t="s">
        <v>733</v>
      </c>
      <c r="J215" s="244" t="s">
        <v>1321</v>
      </c>
      <c r="K215" s="230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B216" s="146" t="s">
        <v>1322</v>
      </c>
      <c r="C216" s="146" t="s">
        <v>1323</v>
      </c>
      <c r="D216" s="147">
        <v>37393.0</v>
      </c>
      <c r="E216" s="145" t="s">
        <v>71</v>
      </c>
      <c r="F216" s="146" t="s">
        <v>1324</v>
      </c>
      <c r="G216" s="146">
        <v>3.0</v>
      </c>
      <c r="H216" s="145" t="s">
        <v>58</v>
      </c>
      <c r="I216" s="150" t="s">
        <v>1155</v>
      </c>
      <c r="J216" s="77" t="s">
        <v>1325</v>
      </c>
      <c r="K216" s="230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B217" s="146" t="s">
        <v>768</v>
      </c>
      <c r="C217" s="146" t="s">
        <v>411</v>
      </c>
      <c r="D217" s="154">
        <v>37391.0</v>
      </c>
      <c r="E217" s="145" t="s">
        <v>71</v>
      </c>
      <c r="F217" s="146" t="s">
        <v>413</v>
      </c>
      <c r="G217" s="146">
        <v>1.5</v>
      </c>
      <c r="H217" s="145" t="s">
        <v>58</v>
      </c>
      <c r="I217" s="150" t="s">
        <v>266</v>
      </c>
      <c r="J217" s="164" t="s">
        <v>1326</v>
      </c>
      <c r="K217" s="366" t="s">
        <v>1327</v>
      </c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B218" s="86" t="s">
        <v>167</v>
      </c>
      <c r="C218" s="13"/>
      <c r="D218" s="13"/>
      <c r="E218" s="13"/>
      <c r="F218" s="18"/>
      <c r="G218" s="88">
        <f>SUM(G213:G217)</f>
        <v>13.5</v>
      </c>
      <c r="H218" s="21"/>
      <c r="I218" s="21"/>
      <c r="J218" s="90"/>
      <c r="K218" s="21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92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92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100" t="s">
        <v>1329</v>
      </c>
      <c r="B221" s="17" t="s">
        <v>1329</v>
      </c>
      <c r="C221" s="13"/>
      <c r="D221" s="13"/>
      <c r="E221" s="13"/>
      <c r="F221" s="13"/>
      <c r="G221" s="13"/>
      <c r="H221" s="13"/>
      <c r="I221" s="13"/>
      <c r="J221" s="13"/>
      <c r="K221" s="18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B222" s="2" t="s">
        <v>1</v>
      </c>
      <c r="C222" s="2" t="s">
        <v>2</v>
      </c>
      <c r="D222" s="2" t="s">
        <v>3</v>
      </c>
      <c r="E222" s="2" t="s">
        <v>4</v>
      </c>
      <c r="F222" s="2" t="s">
        <v>5</v>
      </c>
      <c r="G222" s="2" t="s">
        <v>6</v>
      </c>
      <c r="H222" s="106" t="s">
        <v>7</v>
      </c>
      <c r="I222" s="27" t="s">
        <v>8</v>
      </c>
      <c r="J222" s="29" t="s">
        <v>9</v>
      </c>
      <c r="K222" s="27" t="s">
        <v>10</v>
      </c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B223" s="146" t="s">
        <v>762</v>
      </c>
      <c r="C223" s="146" t="s">
        <v>764</v>
      </c>
      <c r="D223" s="147">
        <v>37400.0</v>
      </c>
      <c r="E223" s="145" t="s">
        <v>31</v>
      </c>
      <c r="F223" s="146" t="s">
        <v>63</v>
      </c>
      <c r="G223" s="146">
        <v>3.0</v>
      </c>
      <c r="H223" s="145" t="s">
        <v>58</v>
      </c>
      <c r="I223" s="117" t="s">
        <v>766</v>
      </c>
      <c r="J223" s="367" t="s">
        <v>1332</v>
      </c>
      <c r="K223" s="230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B224" s="146" t="s">
        <v>1316</v>
      </c>
      <c r="C224" s="146" t="s">
        <v>1317</v>
      </c>
      <c r="D224" s="154">
        <v>37406.0</v>
      </c>
      <c r="E224" s="145" t="s">
        <v>24</v>
      </c>
      <c r="F224" s="146" t="s">
        <v>63</v>
      </c>
      <c r="G224" s="146">
        <v>3.0</v>
      </c>
      <c r="H224" s="234" t="s">
        <v>58</v>
      </c>
      <c r="I224" s="150" t="s">
        <v>52</v>
      </c>
      <c r="J224" s="256" t="s">
        <v>1333</v>
      </c>
      <c r="K224" s="230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B225" s="146" t="s">
        <v>1319</v>
      </c>
      <c r="C225" s="146" t="s">
        <v>1320</v>
      </c>
      <c r="D225" s="147">
        <v>37397.0</v>
      </c>
      <c r="E225" s="145" t="s">
        <v>31</v>
      </c>
      <c r="F225" s="146" t="s">
        <v>160</v>
      </c>
      <c r="G225" s="146">
        <v>3.0</v>
      </c>
      <c r="H225" s="145" t="s">
        <v>58</v>
      </c>
      <c r="I225" s="150" t="s">
        <v>733</v>
      </c>
      <c r="J225" s="244" t="s">
        <v>1335</v>
      </c>
      <c r="K225" s="230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B226" s="146" t="s">
        <v>1322</v>
      </c>
      <c r="C226" s="146" t="s">
        <v>1323</v>
      </c>
      <c r="D226" s="154">
        <v>37402.0</v>
      </c>
      <c r="E226" s="145" t="s">
        <v>31</v>
      </c>
      <c r="F226" s="146" t="s">
        <v>44</v>
      </c>
      <c r="G226" s="146">
        <v>3.0</v>
      </c>
      <c r="H226" s="145" t="s">
        <v>58</v>
      </c>
      <c r="I226" s="150" t="s">
        <v>766</v>
      </c>
      <c r="J226" s="39" t="s">
        <v>1337</v>
      </c>
      <c r="K226" s="230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B227" s="146" t="s">
        <v>768</v>
      </c>
      <c r="C227" s="146" t="s">
        <v>411</v>
      </c>
      <c r="D227" s="154">
        <v>37402.0</v>
      </c>
      <c r="E227" s="145" t="s">
        <v>24</v>
      </c>
      <c r="F227" s="146" t="s">
        <v>413</v>
      </c>
      <c r="G227" s="146">
        <v>1.5</v>
      </c>
      <c r="H227" s="145" t="s">
        <v>58</v>
      </c>
      <c r="I227" s="150" t="s">
        <v>1244</v>
      </c>
      <c r="J227" s="139" t="s">
        <v>1339</v>
      </c>
      <c r="K227" s="230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B228" s="86" t="s">
        <v>167</v>
      </c>
      <c r="C228" s="13"/>
      <c r="D228" s="13"/>
      <c r="E228" s="13"/>
      <c r="F228" s="18"/>
      <c r="G228" s="88">
        <f>SUM(G223:G227)</f>
        <v>13.5</v>
      </c>
      <c r="H228" s="21"/>
      <c r="I228" s="21"/>
      <c r="J228" s="90"/>
      <c r="K228" s="21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92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92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100" t="s">
        <v>1341</v>
      </c>
      <c r="B231" s="17" t="s">
        <v>1341</v>
      </c>
      <c r="C231" s="13"/>
      <c r="D231" s="13"/>
      <c r="E231" s="13"/>
      <c r="F231" s="13"/>
      <c r="G231" s="13"/>
      <c r="H231" s="13"/>
      <c r="I231" s="13"/>
      <c r="J231" s="13"/>
      <c r="K231" s="18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B232" s="2" t="s">
        <v>1</v>
      </c>
      <c r="C232" s="2" t="s">
        <v>2</v>
      </c>
      <c r="D232" s="2" t="s">
        <v>3</v>
      </c>
      <c r="E232" s="2" t="s">
        <v>4</v>
      </c>
      <c r="F232" s="2" t="s">
        <v>5</v>
      </c>
      <c r="G232" s="2" t="s">
        <v>6</v>
      </c>
      <c r="H232" s="106" t="s">
        <v>7</v>
      </c>
      <c r="I232" s="27" t="s">
        <v>8</v>
      </c>
      <c r="J232" s="29" t="s">
        <v>9</v>
      </c>
      <c r="K232" s="27" t="s">
        <v>10</v>
      </c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B233" s="146" t="s">
        <v>762</v>
      </c>
      <c r="C233" s="146" t="s">
        <v>764</v>
      </c>
      <c r="D233" s="147">
        <v>37408.0</v>
      </c>
      <c r="E233" s="145" t="s">
        <v>71</v>
      </c>
      <c r="F233" s="146" t="s">
        <v>63</v>
      </c>
      <c r="G233" s="146">
        <v>3.0</v>
      </c>
      <c r="H233" s="330" t="s">
        <v>281</v>
      </c>
      <c r="I233" s="150" t="s">
        <v>766</v>
      </c>
      <c r="J233" s="39" t="s">
        <v>1345</v>
      </c>
      <c r="K233" s="21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B234" s="146" t="s">
        <v>1316</v>
      </c>
      <c r="C234" s="146" t="s">
        <v>1317</v>
      </c>
      <c r="D234" s="147">
        <v>37414.0</v>
      </c>
      <c r="E234" s="145" t="s">
        <v>15</v>
      </c>
      <c r="F234" s="146" t="s">
        <v>63</v>
      </c>
      <c r="G234" s="146">
        <v>3.0</v>
      </c>
      <c r="H234" s="330" t="s">
        <v>574</v>
      </c>
      <c r="I234" s="150" t="s">
        <v>52</v>
      </c>
      <c r="J234" s="164" t="s">
        <v>1346</v>
      </c>
      <c r="K234" s="21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B235" s="146" t="s">
        <v>1319</v>
      </c>
      <c r="C235" s="146" t="s">
        <v>1320</v>
      </c>
      <c r="D235" s="147">
        <v>37412.0</v>
      </c>
      <c r="E235" s="145" t="s">
        <v>15</v>
      </c>
      <c r="F235" s="146" t="s">
        <v>160</v>
      </c>
      <c r="G235" s="146">
        <v>3.0</v>
      </c>
      <c r="H235" s="330" t="s">
        <v>574</v>
      </c>
      <c r="I235" s="150" t="s">
        <v>733</v>
      </c>
      <c r="J235" s="244" t="s">
        <v>1348</v>
      </c>
      <c r="K235" s="21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B236" s="146" t="s">
        <v>1322</v>
      </c>
      <c r="C236" s="146" t="s">
        <v>1323</v>
      </c>
      <c r="D236" s="147">
        <v>37410.0</v>
      </c>
      <c r="E236" s="145" t="s">
        <v>71</v>
      </c>
      <c r="F236" s="146" t="s">
        <v>44</v>
      </c>
      <c r="G236" s="146">
        <v>3.0</v>
      </c>
      <c r="H236" s="330" t="s">
        <v>281</v>
      </c>
      <c r="I236" s="149" t="s">
        <v>241</v>
      </c>
      <c r="J236" s="36" t="s">
        <v>1350</v>
      </c>
      <c r="K236" s="21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B237" s="146" t="s">
        <v>768</v>
      </c>
      <c r="C237" s="146" t="s">
        <v>411</v>
      </c>
      <c r="D237" s="154">
        <v>37416.0</v>
      </c>
      <c r="E237" s="145" t="s">
        <v>15</v>
      </c>
      <c r="F237" s="146" t="s">
        <v>524</v>
      </c>
      <c r="G237" s="146">
        <v>1.5</v>
      </c>
      <c r="H237" s="330" t="s">
        <v>574</v>
      </c>
      <c r="I237" s="150" t="s">
        <v>714</v>
      </c>
      <c r="J237" s="62" t="s">
        <v>1351</v>
      </c>
      <c r="K237" s="21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B238" s="86" t="s">
        <v>167</v>
      </c>
      <c r="C238" s="13"/>
      <c r="D238" s="13"/>
      <c r="E238" s="13"/>
      <c r="F238" s="18"/>
      <c r="G238" s="88">
        <f>SUM(G233:G237)</f>
        <v>13.5</v>
      </c>
      <c r="H238" s="21"/>
      <c r="I238" s="21"/>
      <c r="J238" s="70"/>
      <c r="K238" s="21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22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100" t="str">
        <f>B240</f>
        <v>MM 304</v>
      </c>
      <c r="B240" s="104" t="s">
        <v>1353</v>
      </c>
      <c r="C240" s="13"/>
      <c r="D240" s="13"/>
      <c r="E240" s="13"/>
      <c r="F240" s="13"/>
      <c r="G240" s="13"/>
      <c r="H240" s="13"/>
      <c r="I240" s="13"/>
      <c r="J240" s="13"/>
      <c r="K240" s="18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B241" s="2" t="s">
        <v>1</v>
      </c>
      <c r="C241" s="2" t="s">
        <v>2</v>
      </c>
      <c r="D241" s="2" t="s">
        <v>3</v>
      </c>
      <c r="E241" s="2" t="s">
        <v>4</v>
      </c>
      <c r="F241" s="2" t="s">
        <v>5</v>
      </c>
      <c r="G241" s="2" t="s">
        <v>6</v>
      </c>
      <c r="H241" s="106" t="s">
        <v>7</v>
      </c>
      <c r="I241" s="27" t="s">
        <v>8</v>
      </c>
      <c r="J241" s="29" t="s">
        <v>9</v>
      </c>
      <c r="K241" s="27" t="s">
        <v>10</v>
      </c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B242" s="146" t="s">
        <v>762</v>
      </c>
      <c r="C242" s="146" t="s">
        <v>764</v>
      </c>
      <c r="D242" s="147">
        <v>37418.0</v>
      </c>
      <c r="E242" s="145" t="s">
        <v>71</v>
      </c>
      <c r="F242" s="146" t="s">
        <v>44</v>
      </c>
      <c r="G242" s="146">
        <v>3.0</v>
      </c>
      <c r="H242" s="330" t="s">
        <v>466</v>
      </c>
      <c r="I242" s="150" t="s">
        <v>766</v>
      </c>
      <c r="J242" s="39" t="s">
        <v>1355</v>
      </c>
      <c r="K242" s="21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B243" s="146" t="s">
        <v>1316</v>
      </c>
      <c r="C243" s="146" t="s">
        <v>1317</v>
      </c>
      <c r="D243" s="147">
        <v>37421.0</v>
      </c>
      <c r="E243" s="145" t="s">
        <v>71</v>
      </c>
      <c r="F243" s="146" t="s">
        <v>48</v>
      </c>
      <c r="G243" s="146">
        <v>3.0</v>
      </c>
      <c r="H243" s="330" t="s">
        <v>466</v>
      </c>
      <c r="I243" s="150" t="s">
        <v>52</v>
      </c>
      <c r="J243" s="164" t="s">
        <v>1356</v>
      </c>
      <c r="K243" s="21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B244" s="146" t="s">
        <v>1319</v>
      </c>
      <c r="C244" s="146" t="s">
        <v>1320</v>
      </c>
      <c r="D244" s="147">
        <v>37423.0</v>
      </c>
      <c r="E244" s="145" t="s">
        <v>24</v>
      </c>
      <c r="F244" s="146" t="s">
        <v>160</v>
      </c>
      <c r="G244" s="146">
        <v>3.0</v>
      </c>
      <c r="H244" s="330" t="s">
        <v>90</v>
      </c>
      <c r="I244" s="150" t="s">
        <v>733</v>
      </c>
      <c r="J244" s="368" t="s">
        <v>1359</v>
      </c>
      <c r="K244" s="21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B245" s="146" t="s">
        <v>1322</v>
      </c>
      <c r="C245" s="146" t="s">
        <v>1323</v>
      </c>
      <c r="D245" s="154">
        <v>37425.0</v>
      </c>
      <c r="E245" s="145" t="s">
        <v>24</v>
      </c>
      <c r="F245" s="146" t="s">
        <v>1360</v>
      </c>
      <c r="G245" s="146">
        <v>3.0</v>
      </c>
      <c r="H245" s="330" t="s">
        <v>90</v>
      </c>
      <c r="I245" s="369" t="s">
        <v>241</v>
      </c>
      <c r="J245" s="36" t="s">
        <v>1361</v>
      </c>
      <c r="K245" s="21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B246" s="146" t="s">
        <v>768</v>
      </c>
      <c r="C246" s="146" t="s">
        <v>411</v>
      </c>
      <c r="D246" s="154">
        <v>37427.0</v>
      </c>
      <c r="E246" s="145" t="s">
        <v>24</v>
      </c>
      <c r="F246" s="146" t="s">
        <v>524</v>
      </c>
      <c r="G246" s="146">
        <v>1.5</v>
      </c>
      <c r="H246" s="370" t="s">
        <v>90</v>
      </c>
      <c r="I246" s="150" t="s">
        <v>266</v>
      </c>
      <c r="J246" s="62" t="s">
        <v>1363</v>
      </c>
      <c r="K246" s="21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B247" s="86" t="s">
        <v>167</v>
      </c>
      <c r="C247" s="13"/>
      <c r="D247" s="13"/>
      <c r="E247" s="13"/>
      <c r="F247" s="18"/>
      <c r="G247" s="88">
        <f>SUM(G242:G246)</f>
        <v>13.5</v>
      </c>
      <c r="H247" s="21"/>
      <c r="I247" s="21"/>
      <c r="J247" s="70"/>
      <c r="K247" s="21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92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100" t="str">
        <f>B249</f>
        <v>MM 401</v>
      </c>
      <c r="B249" s="17" t="s">
        <v>1366</v>
      </c>
      <c r="C249" s="13"/>
      <c r="D249" s="13"/>
      <c r="E249" s="13"/>
      <c r="F249" s="13"/>
      <c r="G249" s="13"/>
      <c r="H249" s="13"/>
      <c r="I249" s="13"/>
      <c r="J249" s="13"/>
      <c r="K249" s="18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B250" s="2" t="s">
        <v>1</v>
      </c>
      <c r="C250" s="2" t="s">
        <v>2</v>
      </c>
      <c r="D250" s="2" t="s">
        <v>3</v>
      </c>
      <c r="E250" s="2" t="s">
        <v>4</v>
      </c>
      <c r="F250" s="2" t="s">
        <v>5</v>
      </c>
      <c r="G250" s="2" t="s">
        <v>6</v>
      </c>
      <c r="H250" s="106" t="s">
        <v>7</v>
      </c>
      <c r="I250" s="27" t="s">
        <v>8</v>
      </c>
      <c r="J250" s="29" t="s">
        <v>9</v>
      </c>
      <c r="K250" s="27" t="s">
        <v>10</v>
      </c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B251" s="33" t="s">
        <v>792</v>
      </c>
      <c r="C251" s="34" t="s">
        <v>793</v>
      </c>
      <c r="D251" s="121">
        <v>37431.0</v>
      </c>
      <c r="E251" s="35" t="s">
        <v>54</v>
      </c>
      <c r="F251" s="36" t="s">
        <v>100</v>
      </c>
      <c r="G251" s="33">
        <v>1.5</v>
      </c>
      <c r="H251" s="119" t="s">
        <v>258</v>
      </c>
      <c r="I251" s="134" t="s">
        <v>714</v>
      </c>
      <c r="J251" s="138" t="s">
        <v>1368</v>
      </c>
      <c r="K251" s="21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B252" s="33" t="s">
        <v>1369</v>
      </c>
      <c r="C252" s="34" t="s">
        <v>1370</v>
      </c>
      <c r="D252" s="371">
        <v>37429.0</v>
      </c>
      <c r="E252" s="35" t="s">
        <v>54</v>
      </c>
      <c r="F252" s="36" t="s">
        <v>1372</v>
      </c>
      <c r="G252" s="33">
        <v>6.0</v>
      </c>
      <c r="H252" s="119" t="s">
        <v>258</v>
      </c>
      <c r="I252" s="372" t="s">
        <v>1373</v>
      </c>
      <c r="J252" s="36" t="s">
        <v>1374</v>
      </c>
      <c r="K252" s="21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B253" s="33" t="s">
        <v>1375</v>
      </c>
      <c r="C253" s="34" t="s">
        <v>1376</v>
      </c>
      <c r="D253" s="107">
        <v>37433.0</v>
      </c>
      <c r="E253" s="35" t="s">
        <v>54</v>
      </c>
      <c r="F253" s="35" t="s">
        <v>273</v>
      </c>
      <c r="G253" s="33">
        <v>3.0</v>
      </c>
      <c r="H253" s="119" t="s">
        <v>258</v>
      </c>
      <c r="I253" s="373" t="s">
        <v>1377</v>
      </c>
      <c r="J253" s="374" t="s">
        <v>1378</v>
      </c>
      <c r="K253" s="21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B254" s="86" t="s">
        <v>167</v>
      </c>
      <c r="C254" s="13"/>
      <c r="D254" s="13"/>
      <c r="E254" s="13"/>
      <c r="F254" s="18"/>
      <c r="G254" s="88">
        <f>SUM(G251:G253)</f>
        <v>10.5</v>
      </c>
      <c r="H254" s="21"/>
      <c r="I254" s="21"/>
      <c r="J254" s="90"/>
      <c r="K254" s="21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92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92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100" t="str">
        <f>B257</f>
        <v>MM 402</v>
      </c>
      <c r="B257" s="17" t="s">
        <v>1382</v>
      </c>
      <c r="C257" s="13"/>
      <c r="D257" s="13"/>
      <c r="E257" s="13"/>
      <c r="F257" s="13"/>
      <c r="G257" s="13"/>
      <c r="H257" s="13"/>
      <c r="I257" s="13"/>
      <c r="J257" s="13"/>
      <c r="K257" s="18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B258" s="2" t="s">
        <v>1</v>
      </c>
      <c r="C258" s="2" t="s">
        <v>2</v>
      </c>
      <c r="D258" s="2" t="s">
        <v>3</v>
      </c>
      <c r="E258" s="2" t="s">
        <v>4</v>
      </c>
      <c r="F258" s="2" t="s">
        <v>5</v>
      </c>
      <c r="G258" s="2" t="s">
        <v>6</v>
      </c>
      <c r="H258" s="106" t="s">
        <v>7</v>
      </c>
      <c r="I258" s="27" t="s">
        <v>8</v>
      </c>
      <c r="J258" s="29" t="s">
        <v>9</v>
      </c>
      <c r="K258" s="27" t="s">
        <v>10</v>
      </c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B259" s="33" t="s">
        <v>792</v>
      </c>
      <c r="C259" s="34" t="s">
        <v>793</v>
      </c>
      <c r="D259" s="121">
        <v>37437.0</v>
      </c>
      <c r="E259" s="35" t="s">
        <v>54</v>
      </c>
      <c r="F259" s="36" t="s">
        <v>314</v>
      </c>
      <c r="G259" s="33">
        <v>1.5</v>
      </c>
      <c r="H259" s="119" t="s">
        <v>205</v>
      </c>
      <c r="I259" s="117" t="s">
        <v>1244</v>
      </c>
      <c r="J259" s="139" t="s">
        <v>1384</v>
      </c>
      <c r="K259" s="21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B260" s="33" t="s">
        <v>1369</v>
      </c>
      <c r="C260" s="34" t="s">
        <v>1370</v>
      </c>
      <c r="D260" s="371">
        <v>37439.0</v>
      </c>
      <c r="E260" s="35" t="s">
        <v>54</v>
      </c>
      <c r="F260" s="36" t="s">
        <v>1385</v>
      </c>
      <c r="G260" s="33">
        <v>6.0</v>
      </c>
      <c r="H260" s="119" t="s">
        <v>205</v>
      </c>
      <c r="I260" s="372" t="s">
        <v>1373</v>
      </c>
      <c r="J260" s="36" t="s">
        <v>1386</v>
      </c>
      <c r="K260" s="21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B261" s="33" t="s">
        <v>1375</v>
      </c>
      <c r="C261" s="34" t="s">
        <v>1376</v>
      </c>
      <c r="D261" s="107">
        <v>37435.0</v>
      </c>
      <c r="E261" s="35" t="s">
        <v>54</v>
      </c>
      <c r="F261" s="35" t="s">
        <v>1388</v>
      </c>
      <c r="G261" s="33">
        <v>3.0</v>
      </c>
      <c r="H261" s="119" t="s">
        <v>205</v>
      </c>
      <c r="I261" s="373" t="s">
        <v>1377</v>
      </c>
      <c r="J261" s="375" t="s">
        <v>1389</v>
      </c>
      <c r="K261" s="21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B262" s="86" t="s">
        <v>167</v>
      </c>
      <c r="C262" s="13"/>
      <c r="D262" s="13"/>
      <c r="E262" s="13"/>
      <c r="F262" s="18"/>
      <c r="G262" s="88">
        <f>SUM(G259:G261)</f>
        <v>10.5</v>
      </c>
      <c r="H262" s="21"/>
      <c r="I262" s="55"/>
      <c r="J262" s="90"/>
      <c r="K262" s="21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92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92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100" t="str">
        <f>B265</f>
        <v>MM 403</v>
      </c>
      <c r="B265" s="17" t="s">
        <v>1391</v>
      </c>
      <c r="C265" s="13"/>
      <c r="D265" s="13"/>
      <c r="E265" s="13"/>
      <c r="F265" s="13"/>
      <c r="G265" s="13"/>
      <c r="H265" s="13"/>
      <c r="I265" s="13"/>
      <c r="J265" s="13"/>
      <c r="K265" s="18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B266" s="2" t="s">
        <v>1</v>
      </c>
      <c r="C266" s="2" t="s">
        <v>2</v>
      </c>
      <c r="D266" s="2" t="s">
        <v>3</v>
      </c>
      <c r="E266" s="2" t="s">
        <v>4</v>
      </c>
      <c r="F266" s="2" t="s">
        <v>5</v>
      </c>
      <c r="G266" s="2" t="s">
        <v>6</v>
      </c>
      <c r="H266" s="106" t="s">
        <v>7</v>
      </c>
      <c r="I266" s="27" t="s">
        <v>8</v>
      </c>
      <c r="J266" s="29" t="s">
        <v>9</v>
      </c>
      <c r="K266" s="27" t="s">
        <v>10</v>
      </c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B267" s="33" t="s">
        <v>792</v>
      </c>
      <c r="C267" s="34" t="s">
        <v>793</v>
      </c>
      <c r="D267" s="121">
        <v>37441.0</v>
      </c>
      <c r="E267" s="35" t="s">
        <v>54</v>
      </c>
      <c r="F267" s="36" t="s">
        <v>413</v>
      </c>
      <c r="G267" s="33">
        <v>1.5</v>
      </c>
      <c r="H267" s="119" t="s">
        <v>376</v>
      </c>
      <c r="I267" s="117" t="s">
        <v>526</v>
      </c>
      <c r="J267" s="74" t="s">
        <v>1395</v>
      </c>
      <c r="K267" s="21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B268" s="33" t="s">
        <v>1369</v>
      </c>
      <c r="C268" s="34" t="s">
        <v>1370</v>
      </c>
      <c r="D268" s="371">
        <v>37445.0</v>
      </c>
      <c r="E268" s="35" t="s">
        <v>54</v>
      </c>
      <c r="F268" s="35" t="s">
        <v>1396</v>
      </c>
      <c r="G268" s="33">
        <v>6.0</v>
      </c>
      <c r="H268" s="119" t="s">
        <v>376</v>
      </c>
      <c r="I268" s="79" t="s">
        <v>41</v>
      </c>
      <c r="J268" s="75" t="s">
        <v>1397</v>
      </c>
      <c r="K268" s="21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B269" s="33" t="s">
        <v>1375</v>
      </c>
      <c r="C269" s="34" t="s">
        <v>1376</v>
      </c>
      <c r="D269" s="107">
        <v>37443.0</v>
      </c>
      <c r="E269" s="35" t="s">
        <v>54</v>
      </c>
      <c r="F269" s="35" t="s">
        <v>1398</v>
      </c>
      <c r="G269" s="33">
        <v>3.0</v>
      </c>
      <c r="H269" s="119" t="s">
        <v>376</v>
      </c>
      <c r="I269" s="373" t="s">
        <v>1377</v>
      </c>
      <c r="J269" s="375" t="s">
        <v>1399</v>
      </c>
      <c r="K269" s="21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B270" s="86" t="s">
        <v>167</v>
      </c>
      <c r="C270" s="13"/>
      <c r="D270" s="13"/>
      <c r="E270" s="13"/>
      <c r="F270" s="18"/>
      <c r="G270" s="88">
        <f>SUM(G267:G269)</f>
        <v>10.5</v>
      </c>
      <c r="H270" s="21"/>
      <c r="I270" s="21"/>
      <c r="J270" s="90"/>
      <c r="K270" s="21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92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92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100" t="str">
        <f>B273</f>
        <v>HR 101</v>
      </c>
      <c r="B273" s="17" t="s">
        <v>1402</v>
      </c>
      <c r="C273" s="13"/>
      <c r="D273" s="13"/>
      <c r="E273" s="13"/>
      <c r="F273" s="13"/>
      <c r="G273" s="13"/>
      <c r="H273" s="13"/>
      <c r="I273" s="13"/>
      <c r="J273" s="13"/>
      <c r="K273" s="18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B274" s="2" t="s">
        <v>1</v>
      </c>
      <c r="C274" s="2" t="s">
        <v>2</v>
      </c>
      <c r="D274" s="2" t="s">
        <v>3</v>
      </c>
      <c r="E274" s="2" t="s">
        <v>4</v>
      </c>
      <c r="F274" s="2" t="s">
        <v>5</v>
      </c>
      <c r="G274" s="2" t="s">
        <v>6</v>
      </c>
      <c r="H274" s="30" t="s">
        <v>1405</v>
      </c>
      <c r="I274" s="27" t="s">
        <v>8</v>
      </c>
      <c r="J274" s="29" t="s">
        <v>9</v>
      </c>
      <c r="K274" s="27" t="s">
        <v>10</v>
      </c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B275" s="146" t="s">
        <v>359</v>
      </c>
      <c r="C275" s="146" t="s">
        <v>1406</v>
      </c>
      <c r="D275" s="154">
        <v>37461.0</v>
      </c>
      <c r="E275" s="145" t="s">
        <v>24</v>
      </c>
      <c r="F275" s="146" t="s">
        <v>261</v>
      </c>
      <c r="G275" s="146">
        <v>3.0</v>
      </c>
      <c r="H275" s="145" t="s">
        <v>258</v>
      </c>
      <c r="I275" s="267" t="s">
        <v>1408</v>
      </c>
      <c r="J275" s="382" t="s">
        <v>1409</v>
      </c>
      <c r="K275" s="21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B276" s="146" t="s">
        <v>45</v>
      </c>
      <c r="C276" s="146" t="s">
        <v>46</v>
      </c>
      <c r="D276" s="154">
        <v>37455.0</v>
      </c>
      <c r="E276" s="145" t="s">
        <v>71</v>
      </c>
      <c r="F276" s="145" t="s">
        <v>261</v>
      </c>
      <c r="G276" s="146">
        <v>3.0</v>
      </c>
      <c r="H276" s="145" t="s">
        <v>258</v>
      </c>
      <c r="I276" s="205" t="s">
        <v>253</v>
      </c>
      <c r="J276" s="383" t="s">
        <v>1410</v>
      </c>
      <c r="K276" s="384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B277" s="146" t="s">
        <v>642</v>
      </c>
      <c r="C277" s="146" t="s">
        <v>1412</v>
      </c>
      <c r="D277" s="154">
        <v>37453.0</v>
      </c>
      <c r="E277" s="145" t="s">
        <v>83</v>
      </c>
      <c r="F277" s="146" t="s">
        <v>48</v>
      </c>
      <c r="G277" s="146">
        <v>3.0</v>
      </c>
      <c r="H277" s="240" t="s">
        <v>1413</v>
      </c>
      <c r="I277" s="150" t="s">
        <v>648</v>
      </c>
      <c r="J277" s="256" t="s">
        <v>1414</v>
      </c>
      <c r="K277" s="21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B278" s="146" t="s">
        <v>61</v>
      </c>
      <c r="C278" s="146" t="s">
        <v>1415</v>
      </c>
      <c r="D278" s="154">
        <v>37451.0</v>
      </c>
      <c r="E278" s="145" t="s">
        <v>83</v>
      </c>
      <c r="F278" s="146" t="s">
        <v>44</v>
      </c>
      <c r="G278" s="146">
        <v>3.0</v>
      </c>
      <c r="H278" s="145" t="s">
        <v>64</v>
      </c>
      <c r="I278" s="150" t="s">
        <v>77</v>
      </c>
      <c r="J278" s="256" t="s">
        <v>1416</v>
      </c>
      <c r="K278" s="21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B279" s="146" t="s">
        <v>838</v>
      </c>
      <c r="C279" s="146" t="s">
        <v>1417</v>
      </c>
      <c r="D279" s="147">
        <v>37449.0</v>
      </c>
      <c r="E279" s="145" t="s">
        <v>83</v>
      </c>
      <c r="F279" s="146" t="s">
        <v>124</v>
      </c>
      <c r="G279" s="146">
        <v>3.0</v>
      </c>
      <c r="H279" s="145" t="s">
        <v>64</v>
      </c>
      <c r="I279" s="149" t="s">
        <v>241</v>
      </c>
      <c r="J279" s="382" t="s">
        <v>1419</v>
      </c>
      <c r="K279" s="21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B280" s="146" t="s">
        <v>79</v>
      </c>
      <c r="C280" s="146" t="s">
        <v>878</v>
      </c>
      <c r="D280" s="154">
        <v>37465.0</v>
      </c>
      <c r="E280" s="145" t="s">
        <v>24</v>
      </c>
      <c r="F280" s="146" t="s">
        <v>44</v>
      </c>
      <c r="G280" s="146">
        <v>3.0</v>
      </c>
      <c r="H280" s="145" t="s">
        <v>258</v>
      </c>
      <c r="I280" s="150" t="s">
        <v>1420</v>
      </c>
      <c r="J280" s="385" t="s">
        <v>1421</v>
      </c>
      <c r="K280" s="21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B281" s="146" t="s">
        <v>347</v>
      </c>
      <c r="C281" s="146" t="s">
        <v>348</v>
      </c>
      <c r="D281" s="154">
        <v>37463.0</v>
      </c>
      <c r="E281" s="145" t="s">
        <v>24</v>
      </c>
      <c r="F281" s="146" t="s">
        <v>63</v>
      </c>
      <c r="G281" s="146">
        <v>3.0</v>
      </c>
      <c r="H281" s="145" t="s">
        <v>258</v>
      </c>
      <c r="I281" s="205" t="s">
        <v>1155</v>
      </c>
      <c r="J281" s="77" t="s">
        <v>1423</v>
      </c>
      <c r="K281" s="21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B282" s="146" t="s">
        <v>211</v>
      </c>
      <c r="C282" s="146" t="s">
        <v>883</v>
      </c>
      <c r="D282" s="154">
        <v>37459.0</v>
      </c>
      <c r="E282" s="145" t="s">
        <v>71</v>
      </c>
      <c r="F282" s="146" t="s">
        <v>85</v>
      </c>
      <c r="G282" s="146">
        <v>3.0</v>
      </c>
      <c r="H282" s="145" t="s">
        <v>239</v>
      </c>
      <c r="I282" s="117" t="s">
        <v>1424</v>
      </c>
      <c r="J282" s="164" t="s">
        <v>1425</v>
      </c>
      <c r="K282" s="21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B283" s="146" t="s">
        <v>107</v>
      </c>
      <c r="C283" s="146" t="s">
        <v>890</v>
      </c>
      <c r="D283" s="154">
        <v>37457.0</v>
      </c>
      <c r="E283" s="145" t="s">
        <v>71</v>
      </c>
      <c r="F283" s="146" t="s">
        <v>1268</v>
      </c>
      <c r="G283" s="146">
        <v>2.0</v>
      </c>
      <c r="H283" s="145" t="s">
        <v>976</v>
      </c>
      <c r="I283" s="267" t="s">
        <v>192</v>
      </c>
      <c r="J283" s="256" t="s">
        <v>1427</v>
      </c>
      <c r="K283" s="21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B284" s="146" t="s">
        <v>200</v>
      </c>
      <c r="C284" s="146" t="s">
        <v>1428</v>
      </c>
      <c r="D284" s="154">
        <v>37447.0</v>
      </c>
      <c r="E284" s="145" t="s">
        <v>83</v>
      </c>
      <c r="F284" s="146" t="s">
        <v>552</v>
      </c>
      <c r="G284" s="146">
        <v>1.5</v>
      </c>
      <c r="H284" s="145" t="s">
        <v>64</v>
      </c>
      <c r="I284" s="150" t="s">
        <v>526</v>
      </c>
      <c r="J284" s="39" t="s">
        <v>1429</v>
      </c>
      <c r="K284" s="21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B285" s="145" t="s">
        <v>178</v>
      </c>
      <c r="C285" s="145" t="s">
        <v>912</v>
      </c>
      <c r="D285" s="154">
        <v>37467.0</v>
      </c>
      <c r="E285" s="145" t="s">
        <v>24</v>
      </c>
      <c r="F285" s="146" t="s">
        <v>48</v>
      </c>
      <c r="G285" s="145">
        <v>3.0</v>
      </c>
      <c r="H285" s="386" t="s">
        <v>258</v>
      </c>
      <c r="I285" s="149" t="s">
        <v>301</v>
      </c>
      <c r="J285" s="242"/>
      <c r="K285" s="21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B286" s="86" t="s">
        <v>167</v>
      </c>
      <c r="C286" s="13"/>
      <c r="D286" s="13"/>
      <c r="E286" s="13"/>
      <c r="F286" s="18"/>
      <c r="G286" s="88">
        <f>SUM(G275:G285)</f>
        <v>30.5</v>
      </c>
      <c r="H286" s="21"/>
      <c r="I286" s="21"/>
      <c r="J286" s="248"/>
      <c r="K286" s="21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92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92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100" t="str">
        <f>B289</f>
        <v>HR 102</v>
      </c>
      <c r="B289" s="17" t="s">
        <v>1433</v>
      </c>
      <c r="C289" s="13"/>
      <c r="D289" s="13"/>
      <c r="E289" s="13"/>
      <c r="F289" s="13"/>
      <c r="G289" s="13"/>
      <c r="H289" s="13"/>
      <c r="I289" s="13"/>
      <c r="J289" s="13"/>
      <c r="K289" s="18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B290" s="2" t="s">
        <v>1</v>
      </c>
      <c r="C290" s="2" t="s">
        <v>2</v>
      </c>
      <c r="D290" s="2" t="s">
        <v>3</v>
      </c>
      <c r="E290" s="2" t="s">
        <v>4</v>
      </c>
      <c r="F290" s="2" t="s">
        <v>5</v>
      </c>
      <c r="G290" s="2" t="s">
        <v>6</v>
      </c>
      <c r="H290" s="30" t="s">
        <v>1405</v>
      </c>
      <c r="I290" s="27" t="s">
        <v>8</v>
      </c>
      <c r="J290" s="29" t="s">
        <v>9</v>
      </c>
      <c r="K290" s="27" t="s">
        <v>10</v>
      </c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B291" s="146" t="s">
        <v>359</v>
      </c>
      <c r="C291" s="146" t="s">
        <v>1406</v>
      </c>
      <c r="D291" s="223">
        <v>37469.0</v>
      </c>
      <c r="E291" s="145" t="s">
        <v>31</v>
      </c>
      <c r="F291" s="146" t="s">
        <v>261</v>
      </c>
      <c r="G291" s="146">
        <v>3.0</v>
      </c>
      <c r="H291" s="145" t="s">
        <v>64</v>
      </c>
      <c r="I291" s="267" t="s">
        <v>1408</v>
      </c>
      <c r="J291" s="256" t="s">
        <v>1435</v>
      </c>
      <c r="K291" s="230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B292" s="146" t="s">
        <v>45</v>
      </c>
      <c r="C292" s="146" t="s">
        <v>46</v>
      </c>
      <c r="D292" s="223">
        <v>37489.0</v>
      </c>
      <c r="E292" s="145" t="s">
        <v>54</v>
      </c>
      <c r="F292" s="145" t="s">
        <v>48</v>
      </c>
      <c r="G292" s="146">
        <v>3.0</v>
      </c>
      <c r="H292" s="145" t="s">
        <v>64</v>
      </c>
      <c r="I292" s="205" t="s">
        <v>253</v>
      </c>
      <c r="J292" s="387" t="s">
        <v>1437</v>
      </c>
      <c r="K292" s="230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B293" s="146" t="s">
        <v>642</v>
      </c>
      <c r="C293" s="146" t="s">
        <v>1412</v>
      </c>
      <c r="D293" s="226">
        <v>37481.0</v>
      </c>
      <c r="E293" s="145" t="s">
        <v>81</v>
      </c>
      <c r="F293" s="146" t="s">
        <v>44</v>
      </c>
      <c r="G293" s="146">
        <v>3.0</v>
      </c>
      <c r="H293" s="224" t="s">
        <v>1439</v>
      </c>
      <c r="I293" s="150" t="s">
        <v>648</v>
      </c>
      <c r="J293" s="256" t="s">
        <v>1440</v>
      </c>
      <c r="K293" s="230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B294" s="146" t="s">
        <v>61</v>
      </c>
      <c r="C294" s="146" t="s">
        <v>1415</v>
      </c>
      <c r="D294" s="223">
        <v>37483.0</v>
      </c>
      <c r="E294" s="145" t="s">
        <v>81</v>
      </c>
      <c r="F294" s="146" t="s">
        <v>48</v>
      </c>
      <c r="G294" s="146">
        <v>3.0</v>
      </c>
      <c r="H294" s="145" t="s">
        <v>350</v>
      </c>
      <c r="I294" s="388" t="s">
        <v>1441</v>
      </c>
      <c r="J294" s="256" t="s">
        <v>1442</v>
      </c>
      <c r="K294" s="230" t="s">
        <v>1443</v>
      </c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B295" s="146" t="s">
        <v>838</v>
      </c>
      <c r="C295" s="146" t="s">
        <v>1417</v>
      </c>
      <c r="D295" s="226">
        <v>37471.0</v>
      </c>
      <c r="E295" s="145" t="s">
        <v>31</v>
      </c>
      <c r="F295" s="146" t="s">
        <v>63</v>
      </c>
      <c r="G295" s="146">
        <v>3.0</v>
      </c>
      <c r="H295" s="145" t="s">
        <v>64</v>
      </c>
      <c r="I295" s="150" t="s">
        <v>1155</v>
      </c>
      <c r="J295" s="77" t="s">
        <v>1444</v>
      </c>
      <c r="K295" s="230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B296" s="146" t="s">
        <v>79</v>
      </c>
      <c r="C296" s="146" t="s">
        <v>1445</v>
      </c>
      <c r="D296" s="226">
        <v>37475.0</v>
      </c>
      <c r="E296" s="145" t="s">
        <v>31</v>
      </c>
      <c r="F296" s="146" t="s">
        <v>48</v>
      </c>
      <c r="G296" s="146">
        <v>3.0</v>
      </c>
      <c r="H296" s="145" t="s">
        <v>64</v>
      </c>
      <c r="I296" s="150" t="s">
        <v>1420</v>
      </c>
      <c r="J296" s="164" t="s">
        <v>1447</v>
      </c>
      <c r="K296" s="230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B297" s="146" t="s">
        <v>347</v>
      </c>
      <c r="C297" s="146" t="s">
        <v>348</v>
      </c>
      <c r="D297" s="226">
        <v>37473.0</v>
      </c>
      <c r="E297" s="145" t="s">
        <v>31</v>
      </c>
      <c r="F297" s="146" t="s">
        <v>44</v>
      </c>
      <c r="G297" s="146">
        <v>3.0</v>
      </c>
      <c r="H297" s="145" t="s">
        <v>64</v>
      </c>
      <c r="I297" s="205" t="s">
        <v>648</v>
      </c>
      <c r="J297" s="256" t="s">
        <v>1448</v>
      </c>
      <c r="K297" s="230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B298" s="146" t="s">
        <v>211</v>
      </c>
      <c r="C298" s="146" t="s">
        <v>883</v>
      </c>
      <c r="D298" s="223">
        <v>37485.0</v>
      </c>
      <c r="E298" s="145" t="s">
        <v>54</v>
      </c>
      <c r="F298" s="146" t="s">
        <v>63</v>
      </c>
      <c r="G298" s="146">
        <v>3.0</v>
      </c>
      <c r="H298" s="145" t="s">
        <v>64</v>
      </c>
      <c r="I298" s="150" t="s">
        <v>172</v>
      </c>
      <c r="J298" s="292"/>
      <c r="K298" s="230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B299" s="146" t="s">
        <v>107</v>
      </c>
      <c r="C299" s="146" t="s">
        <v>890</v>
      </c>
      <c r="D299" s="223">
        <v>37477.0</v>
      </c>
      <c r="E299" s="145" t="s">
        <v>81</v>
      </c>
      <c r="F299" s="146" t="s">
        <v>1005</v>
      </c>
      <c r="G299" s="146">
        <v>2.0</v>
      </c>
      <c r="H299" s="145" t="s">
        <v>976</v>
      </c>
      <c r="I299" s="150" t="s">
        <v>315</v>
      </c>
      <c r="J299" s="138" t="s">
        <v>1450</v>
      </c>
      <c r="K299" s="291" t="s">
        <v>1451</v>
      </c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B300" s="146" t="s">
        <v>200</v>
      </c>
      <c r="C300" s="146" t="s">
        <v>1428</v>
      </c>
      <c r="D300" s="223">
        <v>37479.0</v>
      </c>
      <c r="E300" s="145" t="s">
        <v>81</v>
      </c>
      <c r="F300" s="146" t="s">
        <v>100</v>
      </c>
      <c r="G300" s="146">
        <v>1.5</v>
      </c>
      <c r="H300" s="145" t="s">
        <v>350</v>
      </c>
      <c r="I300" s="150" t="s">
        <v>714</v>
      </c>
      <c r="J300" s="256" t="s">
        <v>1453</v>
      </c>
      <c r="K300" s="230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145" t="s">
        <v>178</v>
      </c>
      <c r="C301" s="145" t="s">
        <v>912</v>
      </c>
      <c r="D301" s="147">
        <v>37487.0</v>
      </c>
      <c r="E301" s="145" t="s">
        <v>54</v>
      </c>
      <c r="F301" s="146" t="s">
        <v>44</v>
      </c>
      <c r="G301" s="145">
        <v>3.0</v>
      </c>
      <c r="H301" s="145" t="s">
        <v>64</v>
      </c>
      <c r="I301" s="248" t="s">
        <v>163</v>
      </c>
      <c r="J301" s="389"/>
      <c r="K301" s="230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86" t="s">
        <v>167</v>
      </c>
      <c r="C302" s="13"/>
      <c r="D302" s="13"/>
      <c r="E302" s="13"/>
      <c r="F302" s="18"/>
      <c r="G302" s="88">
        <f>SUM(G291:G301)</f>
        <v>30.5</v>
      </c>
      <c r="H302" s="21"/>
      <c r="I302" s="21"/>
      <c r="J302" s="90"/>
      <c r="K302" s="21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92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92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100" t="str">
        <f>B305</f>
        <v>HR 103</v>
      </c>
      <c r="B305" s="104" t="s">
        <v>1456</v>
      </c>
      <c r="C305" s="13"/>
      <c r="D305" s="13"/>
      <c r="E305" s="13"/>
      <c r="F305" s="13"/>
      <c r="G305" s="13"/>
      <c r="H305" s="13"/>
      <c r="I305" s="13"/>
      <c r="J305" s="13"/>
      <c r="K305" s="18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B306" s="2" t="s">
        <v>1</v>
      </c>
      <c r="C306" s="2" t="s">
        <v>2</v>
      </c>
      <c r="D306" s="2" t="s">
        <v>3</v>
      </c>
      <c r="E306" s="2" t="s">
        <v>4</v>
      </c>
      <c r="F306" s="2" t="s">
        <v>5</v>
      </c>
      <c r="G306" s="2" t="s">
        <v>6</v>
      </c>
      <c r="H306" s="106" t="s">
        <v>7</v>
      </c>
      <c r="I306" s="27" t="s">
        <v>8</v>
      </c>
      <c r="J306" s="29" t="s">
        <v>9</v>
      </c>
      <c r="K306" s="27" t="s">
        <v>10</v>
      </c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B307" s="146" t="s">
        <v>359</v>
      </c>
      <c r="C307" s="146" t="s">
        <v>1406</v>
      </c>
      <c r="D307" s="223">
        <v>37491.0</v>
      </c>
      <c r="E307" s="145" t="s">
        <v>71</v>
      </c>
      <c r="F307" s="146" t="s">
        <v>261</v>
      </c>
      <c r="G307" s="146">
        <v>3.0</v>
      </c>
      <c r="H307" s="145" t="s">
        <v>350</v>
      </c>
      <c r="I307" s="267" t="s">
        <v>1408</v>
      </c>
      <c r="J307" s="256" t="s">
        <v>1459</v>
      </c>
      <c r="K307" s="230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B308" s="146" t="s">
        <v>45</v>
      </c>
      <c r="C308" s="146" t="s">
        <v>46</v>
      </c>
      <c r="D308" s="226">
        <v>37503.0</v>
      </c>
      <c r="E308" s="145" t="s">
        <v>15</v>
      </c>
      <c r="F308" s="146" t="s">
        <v>48</v>
      </c>
      <c r="G308" s="146">
        <v>3.0</v>
      </c>
      <c r="H308" s="145" t="s">
        <v>350</v>
      </c>
      <c r="I308" s="150" t="s">
        <v>648</v>
      </c>
      <c r="J308" s="256" t="s">
        <v>1462</v>
      </c>
      <c r="K308" s="230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B309" s="146" t="s">
        <v>642</v>
      </c>
      <c r="C309" s="146" t="s">
        <v>1412</v>
      </c>
      <c r="D309" s="223">
        <v>37509.0</v>
      </c>
      <c r="E309" s="145" t="s">
        <v>24</v>
      </c>
      <c r="F309" s="146" t="s">
        <v>48</v>
      </c>
      <c r="G309" s="146">
        <v>3.0</v>
      </c>
      <c r="H309" s="224" t="s">
        <v>1439</v>
      </c>
      <c r="I309" s="150" t="s">
        <v>789</v>
      </c>
      <c r="J309" s="256" t="s">
        <v>1463</v>
      </c>
      <c r="K309" s="230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B310" s="146" t="s">
        <v>61</v>
      </c>
      <c r="C310" s="146" t="s">
        <v>1415</v>
      </c>
      <c r="D310" s="223">
        <v>37507.0</v>
      </c>
      <c r="E310" s="145" t="s">
        <v>24</v>
      </c>
      <c r="F310" s="146" t="s">
        <v>44</v>
      </c>
      <c r="G310" s="146">
        <v>3.0</v>
      </c>
      <c r="H310" s="145" t="s">
        <v>350</v>
      </c>
      <c r="I310" s="117" t="s">
        <v>1441</v>
      </c>
      <c r="J310" s="77" t="s">
        <v>1465</v>
      </c>
      <c r="K310" s="230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B311" s="146" t="s">
        <v>838</v>
      </c>
      <c r="C311" s="146" t="s">
        <v>1417</v>
      </c>
      <c r="D311" s="226">
        <v>37495.0</v>
      </c>
      <c r="E311" s="145" t="s">
        <v>71</v>
      </c>
      <c r="F311" s="146" t="s">
        <v>44</v>
      </c>
      <c r="G311" s="146">
        <v>3.0</v>
      </c>
      <c r="H311" s="145" t="s">
        <v>19</v>
      </c>
      <c r="I311" s="150" t="s">
        <v>1155</v>
      </c>
      <c r="J311" s="118" t="s">
        <v>1467</v>
      </c>
      <c r="K311" s="230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B312" s="146" t="s">
        <v>79</v>
      </c>
      <c r="C312" s="146" t="s">
        <v>1445</v>
      </c>
      <c r="D312" s="226">
        <v>37501.0</v>
      </c>
      <c r="E312" s="145" t="s">
        <v>15</v>
      </c>
      <c r="F312" s="146" t="s">
        <v>44</v>
      </c>
      <c r="G312" s="146">
        <v>3.0</v>
      </c>
      <c r="H312" s="145" t="s">
        <v>350</v>
      </c>
      <c r="I312" s="150" t="s">
        <v>1420</v>
      </c>
      <c r="J312" s="385" t="s">
        <v>1468</v>
      </c>
      <c r="K312" s="230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B313" s="146" t="s">
        <v>347</v>
      </c>
      <c r="C313" s="146" t="s">
        <v>348</v>
      </c>
      <c r="D313" s="223">
        <v>37499.0</v>
      </c>
      <c r="E313" s="145" t="s">
        <v>15</v>
      </c>
      <c r="F313" s="146" t="s">
        <v>63</v>
      </c>
      <c r="G313" s="146">
        <v>3.0</v>
      </c>
      <c r="H313" s="145" t="s">
        <v>350</v>
      </c>
      <c r="I313" s="392" t="s">
        <v>241</v>
      </c>
      <c r="J313" s="382" t="s">
        <v>1471</v>
      </c>
      <c r="K313" s="230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B314" s="146" t="s">
        <v>211</v>
      </c>
      <c r="C314" s="146" t="s">
        <v>883</v>
      </c>
      <c r="D314" s="223">
        <v>37493.0</v>
      </c>
      <c r="E314" s="145" t="s">
        <v>71</v>
      </c>
      <c r="F314" s="146" t="s">
        <v>124</v>
      </c>
      <c r="G314" s="146">
        <v>3.0</v>
      </c>
      <c r="H314" s="145" t="s">
        <v>350</v>
      </c>
      <c r="I314" s="150" t="s">
        <v>581</v>
      </c>
      <c r="J314" s="292"/>
      <c r="K314" s="230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B315" s="146" t="s">
        <v>107</v>
      </c>
      <c r="C315" s="146" t="s">
        <v>890</v>
      </c>
      <c r="D315" s="223">
        <v>37497.0</v>
      </c>
      <c r="E315" s="146" t="s">
        <v>15</v>
      </c>
      <c r="F315" s="146" t="s">
        <v>892</v>
      </c>
      <c r="G315" s="146">
        <v>2.0</v>
      </c>
      <c r="H315" s="146" t="s">
        <v>111</v>
      </c>
      <c r="I315" s="150" t="s">
        <v>192</v>
      </c>
      <c r="J315" s="256" t="s">
        <v>1474</v>
      </c>
      <c r="K315" s="291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B316" s="146" t="s">
        <v>200</v>
      </c>
      <c r="C316" s="146" t="s">
        <v>1428</v>
      </c>
      <c r="D316" s="223">
        <v>37505.0</v>
      </c>
      <c r="E316" s="145" t="s">
        <v>24</v>
      </c>
      <c r="F316" s="146" t="s">
        <v>100</v>
      </c>
      <c r="G316" s="146">
        <v>1.5</v>
      </c>
      <c r="H316" s="145" t="s">
        <v>350</v>
      </c>
      <c r="I316" s="150" t="s">
        <v>266</v>
      </c>
      <c r="J316" s="285" t="s">
        <v>1475</v>
      </c>
      <c r="K316" s="393" t="s">
        <v>1476</v>
      </c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394"/>
      <c r="C317" s="95"/>
      <c r="D317" s="95"/>
      <c r="E317" s="395"/>
      <c r="F317" s="95"/>
      <c r="G317" s="108"/>
      <c r="H317" s="36"/>
      <c r="I317" s="21"/>
      <c r="J317" s="90"/>
      <c r="K317" s="21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86" t="s">
        <v>167</v>
      </c>
      <c r="C318" s="13"/>
      <c r="D318" s="13"/>
      <c r="E318" s="13"/>
      <c r="F318" s="18"/>
      <c r="G318" s="88">
        <f>SUM(G307:G317)</f>
        <v>27.5</v>
      </c>
      <c r="H318" s="21"/>
      <c r="I318" s="21"/>
      <c r="J318" s="90"/>
      <c r="K318" s="21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92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92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100" t="str">
        <f>B321</f>
        <v>HR 201</v>
      </c>
      <c r="B321" s="17" t="s">
        <v>1480</v>
      </c>
      <c r="C321" s="13"/>
      <c r="D321" s="13"/>
      <c r="E321" s="13"/>
      <c r="F321" s="13"/>
      <c r="G321" s="13"/>
      <c r="H321" s="13"/>
      <c r="I321" s="13"/>
      <c r="J321" s="13"/>
      <c r="K321" s="18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B322" s="2" t="s">
        <v>1</v>
      </c>
      <c r="C322" s="2" t="s">
        <v>2</v>
      </c>
      <c r="D322" s="2" t="s">
        <v>3</v>
      </c>
      <c r="E322" s="2" t="s">
        <v>4</v>
      </c>
      <c r="F322" s="2" t="s">
        <v>5</v>
      </c>
      <c r="G322" s="2" t="s">
        <v>6</v>
      </c>
      <c r="H322" s="396" t="s">
        <v>7</v>
      </c>
      <c r="I322" s="27" t="s">
        <v>8</v>
      </c>
      <c r="J322" s="29" t="s">
        <v>9</v>
      </c>
      <c r="K322" s="27" t="s">
        <v>10</v>
      </c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B323" s="146" t="s">
        <v>134</v>
      </c>
      <c r="C323" s="146" t="s">
        <v>135</v>
      </c>
      <c r="D323" s="223">
        <v>37511.0</v>
      </c>
      <c r="E323" s="145" t="s">
        <v>83</v>
      </c>
      <c r="F323" s="146" t="s">
        <v>261</v>
      </c>
      <c r="G323" s="146">
        <v>3.0</v>
      </c>
      <c r="H323" s="145" t="s">
        <v>350</v>
      </c>
      <c r="I323" s="136" t="s">
        <v>302</v>
      </c>
      <c r="J323" s="397" t="s">
        <v>1488</v>
      </c>
      <c r="K323" s="332" t="s">
        <v>255</v>
      </c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B324" s="145" t="s">
        <v>1491</v>
      </c>
      <c r="C324" s="146" t="s">
        <v>1492</v>
      </c>
      <c r="D324" s="226">
        <v>37525.0</v>
      </c>
      <c r="E324" s="145" t="s">
        <v>24</v>
      </c>
      <c r="F324" s="146" t="s">
        <v>1494</v>
      </c>
      <c r="G324" s="146">
        <v>3.0</v>
      </c>
      <c r="H324" s="145" t="s">
        <v>205</v>
      </c>
      <c r="I324" s="150" t="s">
        <v>872</v>
      </c>
      <c r="J324" s="331" t="s">
        <v>1495</v>
      </c>
      <c r="K324" s="21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B325" s="145" t="s">
        <v>155</v>
      </c>
      <c r="C325" s="145" t="s">
        <v>156</v>
      </c>
      <c r="D325" s="226">
        <v>37521.0</v>
      </c>
      <c r="E325" s="145" t="s">
        <v>71</v>
      </c>
      <c r="F325" s="145" t="s">
        <v>44</v>
      </c>
      <c r="G325" s="146">
        <v>3.0</v>
      </c>
      <c r="H325" s="145" t="s">
        <v>205</v>
      </c>
      <c r="I325" s="205" t="s">
        <v>163</v>
      </c>
      <c r="J325" s="398"/>
      <c r="K325" s="21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B326" s="145" t="s">
        <v>1500</v>
      </c>
      <c r="C326" s="146" t="s">
        <v>1501</v>
      </c>
      <c r="D326" s="223">
        <v>37523.0</v>
      </c>
      <c r="E326" s="145" t="s">
        <v>24</v>
      </c>
      <c r="F326" s="146" t="s">
        <v>160</v>
      </c>
      <c r="G326" s="146">
        <v>3.0</v>
      </c>
      <c r="H326" s="145" t="s">
        <v>205</v>
      </c>
      <c r="I326" s="150" t="s">
        <v>1504</v>
      </c>
      <c r="J326" s="399" t="s">
        <v>1505</v>
      </c>
      <c r="K326" s="21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B327" s="146" t="s">
        <v>1506</v>
      </c>
      <c r="C327" s="146" t="s">
        <v>1507</v>
      </c>
      <c r="D327" s="226">
        <v>37519.0</v>
      </c>
      <c r="E327" s="145" t="s">
        <v>71</v>
      </c>
      <c r="F327" s="146" t="s">
        <v>63</v>
      </c>
      <c r="G327" s="146">
        <v>3.0</v>
      </c>
      <c r="H327" s="145" t="s">
        <v>205</v>
      </c>
      <c r="I327" s="149" t="s">
        <v>241</v>
      </c>
      <c r="J327" s="367" t="s">
        <v>1510</v>
      </c>
      <c r="K327" s="21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B328" s="146" t="s">
        <v>116</v>
      </c>
      <c r="C328" s="146" t="s">
        <v>117</v>
      </c>
      <c r="D328" s="223">
        <v>37517.0</v>
      </c>
      <c r="E328" s="145" t="s">
        <v>71</v>
      </c>
      <c r="F328" s="146" t="s">
        <v>160</v>
      </c>
      <c r="G328" s="146">
        <v>3.0</v>
      </c>
      <c r="H328" s="145" t="s">
        <v>205</v>
      </c>
      <c r="I328" s="150" t="s">
        <v>125</v>
      </c>
      <c r="J328" s="146" t="s">
        <v>1514</v>
      </c>
      <c r="K328" s="21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B329" s="146" t="s">
        <v>1515</v>
      </c>
      <c r="C329" s="146" t="s">
        <v>1516</v>
      </c>
      <c r="D329" s="223">
        <v>37513.0</v>
      </c>
      <c r="E329" s="145" t="s">
        <v>83</v>
      </c>
      <c r="F329" s="146" t="s">
        <v>124</v>
      </c>
      <c r="G329" s="146">
        <v>3.0</v>
      </c>
      <c r="H329" s="145" t="s">
        <v>350</v>
      </c>
      <c r="I329" s="150" t="s">
        <v>1155</v>
      </c>
      <c r="J329" s="77" t="s">
        <v>1518</v>
      </c>
      <c r="K329" s="21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B330" s="145" t="s">
        <v>403</v>
      </c>
      <c r="C330" s="146" t="s">
        <v>404</v>
      </c>
      <c r="D330" s="223">
        <v>37515.0</v>
      </c>
      <c r="E330" s="145" t="s">
        <v>83</v>
      </c>
      <c r="F330" s="146" t="s">
        <v>586</v>
      </c>
      <c r="G330" s="146">
        <v>2.0</v>
      </c>
      <c r="H330" s="145" t="s">
        <v>111</v>
      </c>
      <c r="I330" s="150" t="s">
        <v>192</v>
      </c>
      <c r="J330" s="164" t="s">
        <v>1520</v>
      </c>
      <c r="K330" s="21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B331" s="145" t="s">
        <v>710</v>
      </c>
      <c r="C331" s="146" t="s">
        <v>711</v>
      </c>
      <c r="D331" s="223">
        <v>37527.0</v>
      </c>
      <c r="E331" s="145" t="s">
        <v>24</v>
      </c>
      <c r="F331" s="146" t="s">
        <v>524</v>
      </c>
      <c r="G331" s="145">
        <v>1.5</v>
      </c>
      <c r="H331" s="145" t="s">
        <v>205</v>
      </c>
      <c r="I331" s="150" t="s">
        <v>714</v>
      </c>
      <c r="J331" s="138" t="s">
        <v>1524</v>
      </c>
      <c r="K331" s="21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B332" s="86" t="s">
        <v>167</v>
      </c>
      <c r="C332" s="13"/>
      <c r="D332" s="13"/>
      <c r="E332" s="13"/>
      <c r="F332" s="18"/>
      <c r="G332" s="88">
        <f>SUM(G323:G331)</f>
        <v>24.5</v>
      </c>
      <c r="H332" s="21"/>
      <c r="I332" s="21"/>
      <c r="J332" s="90"/>
      <c r="K332" s="21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92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92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100" t="str">
        <f>B335</f>
        <v>HR 202</v>
      </c>
      <c r="B335" s="17" t="s">
        <v>1531</v>
      </c>
      <c r="C335" s="13"/>
      <c r="D335" s="13"/>
      <c r="E335" s="13"/>
      <c r="F335" s="13"/>
      <c r="G335" s="13"/>
      <c r="H335" s="13"/>
      <c r="I335" s="13"/>
      <c r="J335" s="13"/>
      <c r="K335" s="18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B336" s="2" t="s">
        <v>1</v>
      </c>
      <c r="C336" s="2" t="s">
        <v>2</v>
      </c>
      <c r="D336" s="2" t="s">
        <v>3</v>
      </c>
      <c r="E336" s="2" t="s">
        <v>4</v>
      </c>
      <c r="F336" s="2" t="s">
        <v>5</v>
      </c>
      <c r="G336" s="2" t="s">
        <v>6</v>
      </c>
      <c r="H336" s="401" t="s">
        <v>7</v>
      </c>
      <c r="I336" s="27" t="s">
        <v>8</v>
      </c>
      <c r="J336" s="29" t="s">
        <v>9</v>
      </c>
      <c r="K336" s="27" t="s">
        <v>10</v>
      </c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B337" s="146" t="s">
        <v>134</v>
      </c>
      <c r="C337" s="146" t="s">
        <v>135</v>
      </c>
      <c r="D337" s="154">
        <v>37544.0</v>
      </c>
      <c r="E337" s="145" t="s">
        <v>54</v>
      </c>
      <c r="F337" s="146" t="s">
        <v>63</v>
      </c>
      <c r="G337" s="146">
        <v>3.0</v>
      </c>
      <c r="H337" s="240" t="s">
        <v>239</v>
      </c>
      <c r="I337" s="267" t="s">
        <v>1532</v>
      </c>
      <c r="J337" s="36" t="s">
        <v>1533</v>
      </c>
      <c r="K337" s="21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B338" s="145" t="s">
        <v>1491</v>
      </c>
      <c r="C338" s="146" t="s">
        <v>1492</v>
      </c>
      <c r="D338" s="154">
        <v>37540.0</v>
      </c>
      <c r="E338" s="145" t="s">
        <v>24</v>
      </c>
      <c r="F338" s="146" t="s">
        <v>44</v>
      </c>
      <c r="G338" s="146">
        <v>3.0</v>
      </c>
      <c r="H338" s="145" t="s">
        <v>574</v>
      </c>
      <c r="I338" s="150" t="s">
        <v>872</v>
      </c>
      <c r="J338" s="331" t="s">
        <v>1535</v>
      </c>
      <c r="K338" s="21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B339" s="145" t="s">
        <v>155</v>
      </c>
      <c r="C339" s="146" t="s">
        <v>156</v>
      </c>
      <c r="D339" s="147">
        <v>37537.0</v>
      </c>
      <c r="E339" s="145" t="s">
        <v>24</v>
      </c>
      <c r="F339" s="146" t="s">
        <v>63</v>
      </c>
      <c r="G339" s="146">
        <v>3.0</v>
      </c>
      <c r="H339" s="145" t="s">
        <v>574</v>
      </c>
      <c r="I339" s="150" t="s">
        <v>163</v>
      </c>
      <c r="J339" s="36" t="s">
        <v>1536</v>
      </c>
      <c r="K339" s="21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B340" s="145" t="s">
        <v>1500</v>
      </c>
      <c r="C340" s="146" t="s">
        <v>1501</v>
      </c>
      <c r="D340" s="154">
        <v>37533.0</v>
      </c>
      <c r="E340" s="145" t="s">
        <v>83</v>
      </c>
      <c r="F340" s="146" t="s">
        <v>44</v>
      </c>
      <c r="G340" s="146">
        <v>3.0</v>
      </c>
      <c r="H340" s="145" t="s">
        <v>574</v>
      </c>
      <c r="I340" s="150" t="s">
        <v>843</v>
      </c>
      <c r="J340" s="402" t="s">
        <v>1537</v>
      </c>
      <c r="K340" s="21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B341" s="146" t="s">
        <v>1506</v>
      </c>
      <c r="C341" s="146" t="s">
        <v>1507</v>
      </c>
      <c r="D341" s="147">
        <v>37535.0</v>
      </c>
      <c r="E341" s="145" t="s">
        <v>24</v>
      </c>
      <c r="F341" s="146" t="s">
        <v>160</v>
      </c>
      <c r="G341" s="146">
        <v>3.0</v>
      </c>
      <c r="H341" s="145" t="s">
        <v>574</v>
      </c>
      <c r="I341" s="403" t="s">
        <v>241</v>
      </c>
      <c r="J341" s="36" t="s">
        <v>1539</v>
      </c>
      <c r="K341" s="21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B342" s="146" t="s">
        <v>116</v>
      </c>
      <c r="C342" s="146" t="s">
        <v>117</v>
      </c>
      <c r="D342" s="154">
        <v>37546.0</v>
      </c>
      <c r="E342" s="145" t="s">
        <v>54</v>
      </c>
      <c r="F342" s="146" t="s">
        <v>44</v>
      </c>
      <c r="G342" s="146">
        <v>3.0</v>
      </c>
      <c r="H342" s="240" t="s">
        <v>239</v>
      </c>
      <c r="I342" s="150" t="s">
        <v>301</v>
      </c>
      <c r="J342" s="81" t="s">
        <v>1540</v>
      </c>
      <c r="K342" s="21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B343" s="146" t="s">
        <v>1515</v>
      </c>
      <c r="C343" s="146" t="s">
        <v>1516</v>
      </c>
      <c r="D343" s="147">
        <v>37542.0</v>
      </c>
      <c r="E343" s="145" t="s">
        <v>54</v>
      </c>
      <c r="F343" s="146" t="s">
        <v>160</v>
      </c>
      <c r="G343" s="146">
        <v>3.0</v>
      </c>
      <c r="H343" s="240" t="s">
        <v>239</v>
      </c>
      <c r="I343" s="150" t="s">
        <v>1542</v>
      </c>
      <c r="J343" s="404" t="s">
        <v>1543</v>
      </c>
      <c r="K343" s="21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B344" s="145" t="s">
        <v>403</v>
      </c>
      <c r="C344" s="146" t="s">
        <v>404</v>
      </c>
      <c r="D344" s="154">
        <v>37531.0</v>
      </c>
      <c r="E344" s="145" t="s">
        <v>83</v>
      </c>
      <c r="F344" s="146" t="s">
        <v>556</v>
      </c>
      <c r="G344" s="146">
        <v>2.0</v>
      </c>
      <c r="H344" s="145" t="s">
        <v>111</v>
      </c>
      <c r="I344" s="150" t="s">
        <v>192</v>
      </c>
      <c r="J344" s="405" t="s">
        <v>1544</v>
      </c>
      <c r="K344" s="21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B345" s="145" t="s">
        <v>710</v>
      </c>
      <c r="C345" s="146" t="s">
        <v>711</v>
      </c>
      <c r="D345" s="154">
        <v>37529.0</v>
      </c>
      <c r="E345" s="145" t="s">
        <v>83</v>
      </c>
      <c r="F345" s="146" t="s">
        <v>413</v>
      </c>
      <c r="G345" s="145">
        <v>1.5</v>
      </c>
      <c r="H345" s="145" t="s">
        <v>574</v>
      </c>
      <c r="I345" s="150" t="s">
        <v>714</v>
      </c>
      <c r="J345" s="406" t="s">
        <v>1546</v>
      </c>
      <c r="K345" s="21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B346" s="86" t="s">
        <v>167</v>
      </c>
      <c r="C346" s="13"/>
      <c r="D346" s="13"/>
      <c r="E346" s="13"/>
      <c r="F346" s="18"/>
      <c r="G346" s="88">
        <f>SUM(G337:G345)</f>
        <v>24.5</v>
      </c>
      <c r="H346" s="21"/>
      <c r="I346" s="21"/>
      <c r="J346" s="90"/>
      <c r="K346" s="21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92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92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100" t="str">
        <f>B349</f>
        <v>HR 301</v>
      </c>
      <c r="B349" s="17" t="s">
        <v>1549</v>
      </c>
      <c r="C349" s="13"/>
      <c r="D349" s="13"/>
      <c r="E349" s="13"/>
      <c r="F349" s="13"/>
      <c r="G349" s="13"/>
      <c r="H349" s="13"/>
      <c r="I349" s="13"/>
      <c r="J349" s="13"/>
      <c r="K349" s="18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B350" s="2" t="s">
        <v>1</v>
      </c>
      <c r="C350" s="2" t="s">
        <v>2</v>
      </c>
      <c r="D350" s="2" t="s">
        <v>3</v>
      </c>
      <c r="E350" s="2" t="s">
        <v>4</v>
      </c>
      <c r="F350" s="2" t="s">
        <v>5</v>
      </c>
      <c r="G350" s="2" t="s">
        <v>6</v>
      </c>
      <c r="H350" s="106" t="s">
        <v>7</v>
      </c>
      <c r="I350" s="27" t="s">
        <v>8</v>
      </c>
      <c r="J350" s="29" t="s">
        <v>9</v>
      </c>
      <c r="K350" s="27" t="s">
        <v>10</v>
      </c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B351" s="146" t="s">
        <v>1551</v>
      </c>
      <c r="C351" s="146" t="s">
        <v>1552</v>
      </c>
      <c r="D351" s="154">
        <v>37556.0</v>
      </c>
      <c r="E351" s="145" t="s">
        <v>24</v>
      </c>
      <c r="F351" s="146" t="s">
        <v>160</v>
      </c>
      <c r="G351" s="146">
        <v>3.0</v>
      </c>
      <c r="H351" s="145" t="s">
        <v>74</v>
      </c>
      <c r="I351" s="150" t="s">
        <v>1553</v>
      </c>
      <c r="J351" s="46" t="s">
        <v>1554</v>
      </c>
      <c r="K351" s="21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B352" s="146" t="s">
        <v>1555</v>
      </c>
      <c r="C352" s="146" t="s">
        <v>1556</v>
      </c>
      <c r="D352" s="154">
        <v>37554.0</v>
      </c>
      <c r="E352" s="145" t="s">
        <v>15</v>
      </c>
      <c r="F352" s="146" t="s">
        <v>48</v>
      </c>
      <c r="G352" s="146">
        <v>3.0</v>
      </c>
      <c r="H352" s="145" t="s">
        <v>74</v>
      </c>
      <c r="I352" s="150" t="s">
        <v>52</v>
      </c>
      <c r="J352" s="36" t="s">
        <v>1558</v>
      </c>
      <c r="K352" s="21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B353" s="146" t="s">
        <v>1559</v>
      </c>
      <c r="C353" s="146" t="s">
        <v>1560</v>
      </c>
      <c r="D353" s="154">
        <v>37548.0</v>
      </c>
      <c r="E353" s="145" t="s">
        <v>31</v>
      </c>
      <c r="F353" s="146" t="s">
        <v>63</v>
      </c>
      <c r="G353" s="146">
        <v>3.0</v>
      </c>
      <c r="H353" s="145" t="s">
        <v>74</v>
      </c>
      <c r="I353" s="150" t="s">
        <v>843</v>
      </c>
      <c r="J353" s="46" t="s">
        <v>1562</v>
      </c>
      <c r="K353" s="21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B354" s="146" t="s">
        <v>1322</v>
      </c>
      <c r="C354" s="146" t="s">
        <v>1323</v>
      </c>
      <c r="D354" s="154">
        <v>37552.0</v>
      </c>
      <c r="E354" s="145" t="s">
        <v>15</v>
      </c>
      <c r="F354" s="146" t="s">
        <v>44</v>
      </c>
      <c r="G354" s="146">
        <v>3.0</v>
      </c>
      <c r="H354" s="145" t="s">
        <v>74</v>
      </c>
      <c r="I354" s="407" t="s">
        <v>1563</v>
      </c>
      <c r="J354" s="36" t="s">
        <v>1564</v>
      </c>
      <c r="K354" s="21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B355" s="146" t="s">
        <v>762</v>
      </c>
      <c r="C355" s="146" t="s">
        <v>764</v>
      </c>
      <c r="D355" s="147">
        <v>37550.0</v>
      </c>
      <c r="E355" s="145" t="s">
        <v>31</v>
      </c>
      <c r="F355" s="146" t="s">
        <v>44</v>
      </c>
      <c r="G355" s="146">
        <v>3.0</v>
      </c>
      <c r="H355" s="145" t="s">
        <v>74</v>
      </c>
      <c r="I355" s="150" t="s">
        <v>1155</v>
      </c>
      <c r="J355" s="77" t="s">
        <v>1565</v>
      </c>
      <c r="K355" s="21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B356" s="146" t="s">
        <v>768</v>
      </c>
      <c r="C356" s="146" t="s">
        <v>411</v>
      </c>
      <c r="D356" s="154">
        <v>37558.0</v>
      </c>
      <c r="E356" s="145" t="s">
        <v>24</v>
      </c>
      <c r="F356" s="146" t="s">
        <v>314</v>
      </c>
      <c r="G356" s="146">
        <v>1.5</v>
      </c>
      <c r="H356" s="145" t="s">
        <v>74</v>
      </c>
      <c r="I356" s="150" t="s">
        <v>714</v>
      </c>
      <c r="J356" s="164" t="s">
        <v>1566</v>
      </c>
      <c r="K356" s="21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B357" s="86" t="s">
        <v>167</v>
      </c>
      <c r="C357" s="13"/>
      <c r="D357" s="13"/>
      <c r="E357" s="13"/>
      <c r="F357" s="18"/>
      <c r="G357" s="88">
        <f>SUM(G351:G356)</f>
        <v>16.5</v>
      </c>
      <c r="H357" s="21"/>
      <c r="I357" s="21"/>
      <c r="J357" s="70"/>
      <c r="K357" s="21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22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92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100" t="str">
        <f>B360</f>
        <v>HR 302</v>
      </c>
      <c r="B360" s="408" t="s">
        <v>1569</v>
      </c>
      <c r="C360" s="13"/>
      <c r="D360" s="13"/>
      <c r="E360" s="13"/>
      <c r="F360" s="13"/>
      <c r="G360" s="13"/>
      <c r="H360" s="13"/>
      <c r="I360" s="13"/>
      <c r="J360" s="13"/>
      <c r="K360" s="18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B361" s="2" t="s">
        <v>1</v>
      </c>
      <c r="C361" s="2" t="s">
        <v>2</v>
      </c>
      <c r="D361" s="2" t="s">
        <v>3</v>
      </c>
      <c r="E361" s="2" t="s">
        <v>4</v>
      </c>
      <c r="F361" s="2" t="s">
        <v>5</v>
      </c>
      <c r="G361" s="2" t="s">
        <v>6</v>
      </c>
      <c r="H361" s="30" t="s">
        <v>210</v>
      </c>
      <c r="I361" s="27" t="s">
        <v>8</v>
      </c>
      <c r="J361" s="29" t="s">
        <v>9</v>
      </c>
      <c r="K361" s="27" t="s">
        <v>10</v>
      </c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B362" s="146" t="s">
        <v>1551</v>
      </c>
      <c r="C362" s="146" t="s">
        <v>1552</v>
      </c>
      <c r="D362" s="154">
        <v>37568.0</v>
      </c>
      <c r="E362" s="145" t="s">
        <v>54</v>
      </c>
      <c r="F362" s="146" t="s">
        <v>1571</v>
      </c>
      <c r="G362" s="146">
        <v>3.0</v>
      </c>
      <c r="H362" s="145" t="s">
        <v>38</v>
      </c>
      <c r="I362" s="117" t="s">
        <v>1573</v>
      </c>
      <c r="J362" s="256" t="s">
        <v>1574</v>
      </c>
      <c r="K362" s="230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B363" s="146" t="s">
        <v>1555</v>
      </c>
      <c r="C363" s="146" t="s">
        <v>1556</v>
      </c>
      <c r="D363" s="154">
        <v>37562.0</v>
      </c>
      <c r="E363" s="145" t="s">
        <v>71</v>
      </c>
      <c r="F363" s="146" t="s">
        <v>63</v>
      </c>
      <c r="G363" s="146">
        <v>3.0</v>
      </c>
      <c r="H363" s="234" t="s">
        <v>74</v>
      </c>
      <c r="I363" s="150" t="s">
        <v>52</v>
      </c>
      <c r="J363" s="359" t="s">
        <v>1576</v>
      </c>
      <c r="K363" s="230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B364" s="146" t="s">
        <v>1559</v>
      </c>
      <c r="C364" s="146" t="s">
        <v>1560</v>
      </c>
      <c r="D364" s="154">
        <v>37566.0</v>
      </c>
      <c r="E364" s="145" t="s">
        <v>24</v>
      </c>
      <c r="F364" s="146" t="s">
        <v>44</v>
      </c>
      <c r="G364" s="146">
        <v>3.0</v>
      </c>
      <c r="H364" s="145" t="s">
        <v>38</v>
      </c>
      <c r="I364" s="150" t="s">
        <v>843</v>
      </c>
      <c r="J364" s="35" t="s">
        <v>1577</v>
      </c>
      <c r="K364" s="230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B365" s="146" t="s">
        <v>1322</v>
      </c>
      <c r="C365" s="146" t="s">
        <v>1323</v>
      </c>
      <c r="D365" s="154">
        <v>37564.0</v>
      </c>
      <c r="E365" s="145" t="s">
        <v>24</v>
      </c>
      <c r="F365" s="146" t="s">
        <v>63</v>
      </c>
      <c r="G365" s="146">
        <v>3.0</v>
      </c>
      <c r="H365" s="145" t="s">
        <v>38</v>
      </c>
      <c r="I365" s="150" t="s">
        <v>917</v>
      </c>
      <c r="J365" s="256" t="s">
        <v>1580</v>
      </c>
      <c r="K365" s="230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B366" s="146" t="s">
        <v>762</v>
      </c>
      <c r="C366" s="146" t="s">
        <v>764</v>
      </c>
      <c r="D366" s="147">
        <v>37560.0</v>
      </c>
      <c r="E366" s="145" t="s">
        <v>71</v>
      </c>
      <c r="F366" s="146" t="s">
        <v>160</v>
      </c>
      <c r="G366" s="146">
        <v>3.0</v>
      </c>
      <c r="H366" s="145" t="s">
        <v>74</v>
      </c>
      <c r="I366" s="407" t="s">
        <v>1155</v>
      </c>
      <c r="J366" s="274" t="s">
        <v>1581</v>
      </c>
      <c r="K366" s="230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B367" s="146" t="s">
        <v>768</v>
      </c>
      <c r="C367" s="146" t="s">
        <v>411</v>
      </c>
      <c r="D367" s="154">
        <v>37570.0</v>
      </c>
      <c r="E367" s="145" t="s">
        <v>54</v>
      </c>
      <c r="F367" s="146" t="s">
        <v>794</v>
      </c>
      <c r="G367" s="146">
        <v>1.5</v>
      </c>
      <c r="H367" s="145" t="s">
        <v>38</v>
      </c>
      <c r="I367" s="150" t="s">
        <v>714</v>
      </c>
      <c r="J367" s="256" t="s">
        <v>1583</v>
      </c>
      <c r="K367" s="260" t="s">
        <v>1584</v>
      </c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B368" s="86" t="s">
        <v>167</v>
      </c>
      <c r="C368" s="13"/>
      <c r="D368" s="13"/>
      <c r="E368" s="13"/>
      <c r="F368" s="18"/>
      <c r="G368" s="88">
        <f>SUM(G362:G367)</f>
        <v>16.5</v>
      </c>
      <c r="H368" s="21"/>
      <c r="I368" s="21"/>
      <c r="J368" s="90"/>
      <c r="K368" s="21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92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92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100" t="str">
        <f>B371</f>
        <v>HR 303</v>
      </c>
      <c r="B371" s="104" t="s">
        <v>1586</v>
      </c>
      <c r="C371" s="13"/>
      <c r="D371" s="13"/>
      <c r="E371" s="13"/>
      <c r="F371" s="13"/>
      <c r="G371" s="13"/>
      <c r="H371" s="13"/>
      <c r="I371" s="13"/>
      <c r="J371" s="13"/>
      <c r="K371" s="18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B372" s="2" t="s">
        <v>1</v>
      </c>
      <c r="C372" s="2" t="s">
        <v>2</v>
      </c>
      <c r="D372" s="2" t="s">
        <v>3</v>
      </c>
      <c r="E372" s="2" t="s">
        <v>4</v>
      </c>
      <c r="F372" s="2" t="s">
        <v>5</v>
      </c>
      <c r="G372" s="2" t="s">
        <v>6</v>
      </c>
      <c r="H372" s="30" t="s">
        <v>210</v>
      </c>
      <c r="I372" s="27" t="s">
        <v>8</v>
      </c>
      <c r="J372" s="29" t="s">
        <v>9</v>
      </c>
      <c r="K372" s="27" t="s">
        <v>10</v>
      </c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B373" s="146" t="s">
        <v>1551</v>
      </c>
      <c r="C373" s="146" t="s">
        <v>1552</v>
      </c>
      <c r="D373" s="154">
        <v>37582.0</v>
      </c>
      <c r="E373" s="145" t="s">
        <v>54</v>
      </c>
      <c r="F373" s="146" t="s">
        <v>1589</v>
      </c>
      <c r="G373" s="146">
        <v>3.0</v>
      </c>
      <c r="H373" s="145" t="s">
        <v>219</v>
      </c>
      <c r="I373" s="117" t="s">
        <v>1573</v>
      </c>
      <c r="J373" s="36" t="s">
        <v>1590</v>
      </c>
      <c r="K373" s="21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B374" s="146" t="s">
        <v>1555</v>
      </c>
      <c r="C374" s="146" t="s">
        <v>1556</v>
      </c>
      <c r="D374" s="154">
        <v>37578.0</v>
      </c>
      <c r="E374" s="145" t="s">
        <v>24</v>
      </c>
      <c r="F374" s="146" t="s">
        <v>44</v>
      </c>
      <c r="G374" s="146">
        <v>3.0</v>
      </c>
      <c r="H374" s="234" t="s">
        <v>239</v>
      </c>
      <c r="I374" s="150" t="s">
        <v>1591</v>
      </c>
      <c r="J374" s="36" t="s">
        <v>1592</v>
      </c>
      <c r="K374" s="21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B375" s="146" t="s">
        <v>1559</v>
      </c>
      <c r="C375" s="146" t="s">
        <v>1560</v>
      </c>
      <c r="D375" s="154">
        <v>37576.0</v>
      </c>
      <c r="E375" s="145" t="s">
        <v>24</v>
      </c>
      <c r="F375" s="146" t="s">
        <v>63</v>
      </c>
      <c r="G375" s="146">
        <v>3.0</v>
      </c>
      <c r="H375" s="145" t="s">
        <v>239</v>
      </c>
      <c r="I375" s="150" t="s">
        <v>843</v>
      </c>
      <c r="J375" s="46" t="s">
        <v>1593</v>
      </c>
      <c r="K375" s="21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B376" s="146" t="s">
        <v>1322</v>
      </c>
      <c r="C376" s="146" t="s">
        <v>1323</v>
      </c>
      <c r="D376" s="154">
        <v>37572.0</v>
      </c>
      <c r="E376" s="145" t="s">
        <v>31</v>
      </c>
      <c r="F376" s="146" t="s">
        <v>85</v>
      </c>
      <c r="G376" s="146">
        <v>3.0</v>
      </c>
      <c r="H376" s="145" t="s">
        <v>38</v>
      </c>
      <c r="I376" s="149" t="s">
        <v>241</v>
      </c>
      <c r="J376" s="19" t="s">
        <v>1594</v>
      </c>
      <c r="K376" s="21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B377" s="146" t="s">
        <v>762</v>
      </c>
      <c r="C377" s="146" t="s">
        <v>764</v>
      </c>
      <c r="D377" s="154">
        <v>37574.0</v>
      </c>
      <c r="E377" s="145" t="s">
        <v>54</v>
      </c>
      <c r="F377" s="146" t="s">
        <v>160</v>
      </c>
      <c r="G377" s="146">
        <v>3.0</v>
      </c>
      <c r="H377" s="145" t="s">
        <v>219</v>
      </c>
      <c r="I377" s="248" t="s">
        <v>163</v>
      </c>
      <c r="J377" s="90"/>
      <c r="K377" s="21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B378" s="146" t="s">
        <v>768</v>
      </c>
      <c r="C378" s="146" t="s">
        <v>411</v>
      </c>
      <c r="D378" s="154">
        <v>37580.0</v>
      </c>
      <c r="E378" s="145" t="s">
        <v>31</v>
      </c>
      <c r="F378" s="146" t="s">
        <v>314</v>
      </c>
      <c r="G378" s="146">
        <v>1.5</v>
      </c>
      <c r="H378" s="145" t="s">
        <v>38</v>
      </c>
      <c r="I378" s="150" t="s">
        <v>266</v>
      </c>
      <c r="J378" s="62" t="s">
        <v>1596</v>
      </c>
      <c r="K378" s="21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B379" s="86" t="s">
        <v>167</v>
      </c>
      <c r="C379" s="13"/>
      <c r="D379" s="13"/>
      <c r="E379" s="13"/>
      <c r="F379" s="18"/>
      <c r="G379" s="88">
        <f>SUM(G373:G378)</f>
        <v>16.5</v>
      </c>
      <c r="H379" s="21"/>
      <c r="I379" s="21"/>
      <c r="J379" s="90"/>
      <c r="K379" s="21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92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100" t="str">
        <f>B381</f>
        <v>HR 401</v>
      </c>
      <c r="B381" s="17" t="s">
        <v>1598</v>
      </c>
      <c r="C381" s="13"/>
      <c r="D381" s="13"/>
      <c r="E381" s="13"/>
      <c r="F381" s="13"/>
      <c r="G381" s="13"/>
      <c r="H381" s="13"/>
      <c r="I381" s="13"/>
      <c r="J381" s="13"/>
      <c r="K381" s="18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B382" s="2" t="s">
        <v>1</v>
      </c>
      <c r="C382" s="2" t="s">
        <v>2</v>
      </c>
      <c r="D382" s="2" t="s">
        <v>3</v>
      </c>
      <c r="E382" s="2" t="s">
        <v>4</v>
      </c>
      <c r="F382" s="2" t="s">
        <v>5</v>
      </c>
      <c r="G382" s="2" t="s">
        <v>6</v>
      </c>
      <c r="H382" s="30" t="s">
        <v>7</v>
      </c>
      <c r="I382" s="27" t="s">
        <v>8</v>
      </c>
      <c r="J382" s="29" t="s">
        <v>9</v>
      </c>
      <c r="K382" s="27" t="s">
        <v>10</v>
      </c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B383" s="146" t="s">
        <v>1369</v>
      </c>
      <c r="C383" s="146" t="s">
        <v>1600</v>
      </c>
      <c r="D383" s="147">
        <v>37588.0</v>
      </c>
      <c r="E383" s="145" t="s">
        <v>54</v>
      </c>
      <c r="F383" s="146" t="s">
        <v>1601</v>
      </c>
      <c r="G383" s="146">
        <v>6.0</v>
      </c>
      <c r="H383" s="145" t="s">
        <v>19</v>
      </c>
      <c r="I383" s="150" t="s">
        <v>1602</v>
      </c>
      <c r="J383" s="410"/>
      <c r="K383" s="21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B384" s="146" t="s">
        <v>1603</v>
      </c>
      <c r="C384" s="146" t="s">
        <v>1605</v>
      </c>
      <c r="D384" s="154">
        <v>37586.0</v>
      </c>
      <c r="E384" s="145" t="s">
        <v>54</v>
      </c>
      <c r="F384" s="146" t="s">
        <v>63</v>
      </c>
      <c r="G384" s="146">
        <v>3.0</v>
      </c>
      <c r="H384" s="145" t="s">
        <v>574</v>
      </c>
      <c r="I384" s="150" t="s">
        <v>1606</v>
      </c>
      <c r="J384" s="62" t="s">
        <v>1607</v>
      </c>
      <c r="K384" s="21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B385" s="146" t="s">
        <v>792</v>
      </c>
      <c r="C385" s="146" t="s">
        <v>411</v>
      </c>
      <c r="D385" s="154">
        <v>37584.0</v>
      </c>
      <c r="E385" s="145" t="s">
        <v>54</v>
      </c>
      <c r="F385" s="146" t="s">
        <v>413</v>
      </c>
      <c r="G385" s="146">
        <v>1.5</v>
      </c>
      <c r="H385" s="145" t="s">
        <v>574</v>
      </c>
      <c r="I385" s="150" t="s">
        <v>714</v>
      </c>
      <c r="J385" s="153" t="s">
        <v>1608</v>
      </c>
      <c r="K385" s="21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B386" s="86" t="s">
        <v>167</v>
      </c>
      <c r="C386" s="13"/>
      <c r="D386" s="13"/>
      <c r="E386" s="13"/>
      <c r="F386" s="18"/>
      <c r="G386" s="88">
        <f>SUM(G383:G385)</f>
        <v>10.5</v>
      </c>
      <c r="H386" s="21"/>
      <c r="I386" s="21"/>
      <c r="J386" s="248"/>
      <c r="K386" s="21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92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92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227" t="s">
        <v>1610</v>
      </c>
      <c r="B389" s="104" t="s">
        <v>1610</v>
      </c>
      <c r="C389" s="13"/>
      <c r="D389" s="13"/>
      <c r="E389" s="13"/>
      <c r="F389" s="13"/>
      <c r="G389" s="13"/>
      <c r="H389" s="13"/>
      <c r="I389" s="13"/>
      <c r="J389" s="13"/>
      <c r="K389" s="18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B390" s="2" t="s">
        <v>1</v>
      </c>
      <c r="C390" s="2" t="s">
        <v>2</v>
      </c>
      <c r="D390" s="2" t="s">
        <v>3</v>
      </c>
      <c r="E390" s="2" t="s">
        <v>4</v>
      </c>
      <c r="F390" s="2" t="s">
        <v>5</v>
      </c>
      <c r="G390" s="2" t="s">
        <v>6</v>
      </c>
      <c r="H390" s="106" t="s">
        <v>7</v>
      </c>
      <c r="I390" s="27" t="s">
        <v>8</v>
      </c>
      <c r="J390" s="29" t="s">
        <v>9</v>
      </c>
      <c r="K390" s="27" t="s">
        <v>10</v>
      </c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B391" s="146" t="s">
        <v>1369</v>
      </c>
      <c r="C391" s="146" t="s">
        <v>1600</v>
      </c>
      <c r="D391" s="147">
        <v>37590.0</v>
      </c>
      <c r="E391" s="145" t="s">
        <v>54</v>
      </c>
      <c r="F391" s="146" t="s">
        <v>1372</v>
      </c>
      <c r="G391" s="146">
        <v>6.0</v>
      </c>
      <c r="H391" s="330" t="s">
        <v>51</v>
      </c>
      <c r="I391" s="205" t="s">
        <v>1613</v>
      </c>
      <c r="J391" s="411" t="s">
        <v>1614</v>
      </c>
      <c r="K391" s="21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B392" s="146" t="s">
        <v>1603</v>
      </c>
      <c r="C392" s="146" t="s">
        <v>1605</v>
      </c>
      <c r="D392" s="154">
        <v>37594.0</v>
      </c>
      <c r="E392" s="145" t="s">
        <v>54</v>
      </c>
      <c r="F392" s="145" t="s">
        <v>44</v>
      </c>
      <c r="G392" s="146">
        <v>3.0</v>
      </c>
      <c r="H392" s="330" t="s">
        <v>51</v>
      </c>
      <c r="I392" s="205" t="s">
        <v>1606</v>
      </c>
      <c r="J392" s="138" t="s">
        <v>1616</v>
      </c>
      <c r="K392" s="21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B393" s="146" t="s">
        <v>792</v>
      </c>
      <c r="C393" s="146" t="s">
        <v>411</v>
      </c>
      <c r="D393" s="154">
        <v>37592.0</v>
      </c>
      <c r="E393" s="145" t="s">
        <v>54</v>
      </c>
      <c r="F393" s="146" t="s">
        <v>100</v>
      </c>
      <c r="G393" s="146">
        <v>1.5</v>
      </c>
      <c r="H393" s="330" t="s">
        <v>51</v>
      </c>
      <c r="I393" s="150" t="s">
        <v>1244</v>
      </c>
      <c r="J393" s="139" t="s">
        <v>1617</v>
      </c>
      <c r="K393" s="21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B394" s="86" t="s">
        <v>167</v>
      </c>
      <c r="C394" s="13"/>
      <c r="D394" s="13"/>
      <c r="E394" s="13"/>
      <c r="F394" s="18"/>
      <c r="G394" s="88">
        <f>SUM(G391:G393)</f>
        <v>10.5</v>
      </c>
      <c r="H394" s="21"/>
      <c r="I394" s="21"/>
      <c r="J394" s="248"/>
      <c r="K394" s="21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92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92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92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92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92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92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92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92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92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92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92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92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92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92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92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92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92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92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92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92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92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92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92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92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92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92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92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92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92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92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92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92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92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92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92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92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92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92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92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92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92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92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92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92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92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92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92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92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92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92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92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92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92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92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92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92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92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92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92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92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92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92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92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92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92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92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92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92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92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92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92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92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92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92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92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92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92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92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92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92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92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92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92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92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92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92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92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92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92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92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92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92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92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92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92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92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92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92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92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92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92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92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92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92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92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92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92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92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92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92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92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92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92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92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92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92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92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92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92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92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92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92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92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92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92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92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92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92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92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92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92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92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92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92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92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92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92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92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92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92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92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92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92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92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92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92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92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92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92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92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92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92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92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92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92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92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92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92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92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92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92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92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92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92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92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92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92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92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92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92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92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92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92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92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92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92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92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92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92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92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92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92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92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92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92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92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92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92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92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92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92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92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92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92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92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92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92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92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92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92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92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92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92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92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92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92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92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92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92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92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92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92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92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92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92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92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92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92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92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92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92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92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92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92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92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92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92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92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92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92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92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92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92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92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92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92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92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92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92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92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92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92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92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92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92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92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92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92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92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92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92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92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92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92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92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92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92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92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92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92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92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92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92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92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92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92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92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92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92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92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92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92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92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92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92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92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92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92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92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92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92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92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92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92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92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92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92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92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92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92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92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92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92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92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92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92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92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92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92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92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92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92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92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92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92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92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92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92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92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92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92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92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92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92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92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92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92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92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92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92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92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92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92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92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92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92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92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92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92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92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92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92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92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92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92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92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92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92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92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92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92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92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92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92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92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92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92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92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92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92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92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92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92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92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92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92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92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92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92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92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92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92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92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92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92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92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92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92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92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92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92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92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92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92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92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92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92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92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92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92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92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92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92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92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92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92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92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92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92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92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92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92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92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92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92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92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92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92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92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92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92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92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92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92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92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92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92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92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92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92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92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92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92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92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92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92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92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92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92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92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92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92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92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92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92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92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92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92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92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92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92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92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92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92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92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92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92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92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92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92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92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92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92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92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92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92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92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92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92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92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92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92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92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92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92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92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92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92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92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92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92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92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92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92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92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92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92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92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92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92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92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92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92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92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92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92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92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92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92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92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92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92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92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92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92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92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92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92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92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92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92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92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92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92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92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92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92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92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92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92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92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92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92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92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92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92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92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92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92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92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92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92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92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92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92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92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92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92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92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92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92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92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92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92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92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92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92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92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92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92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92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92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92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92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92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92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92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92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92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92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92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92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92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92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92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92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92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92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92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92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92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92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92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92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92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92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92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92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92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92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92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92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92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92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92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92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92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92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92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92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92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92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92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92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92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92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92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92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92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92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92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92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92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92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92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92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92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92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92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92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92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92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92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92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92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92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92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92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92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92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92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92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92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92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92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92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92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92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92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92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92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92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92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92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92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92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92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92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92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92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92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92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92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92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92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92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92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92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92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92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92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</row>
    <row r="1026">
      <c r="A1026" s="5"/>
      <c r="B1026" s="5"/>
      <c r="C1026" s="5"/>
      <c r="D1026" s="5"/>
      <c r="E1026" s="5"/>
      <c r="F1026" s="5"/>
      <c r="G1026" s="5"/>
      <c r="H1026" s="5"/>
      <c r="I1026" s="5"/>
      <c r="J1026" s="92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</row>
    <row r="1027">
      <c r="A1027" s="5"/>
      <c r="B1027" s="5"/>
      <c r="C1027" s="5"/>
      <c r="D1027" s="5"/>
      <c r="E1027" s="5"/>
      <c r="F1027" s="5"/>
      <c r="G1027" s="5"/>
      <c r="H1027" s="5"/>
      <c r="I1027" s="5"/>
      <c r="J1027" s="92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</row>
    <row r="1028">
      <c r="A1028" s="5"/>
      <c r="B1028" s="5"/>
      <c r="C1028" s="5"/>
      <c r="D1028" s="5"/>
      <c r="E1028" s="5"/>
      <c r="F1028" s="5"/>
      <c r="G1028" s="5"/>
      <c r="H1028" s="5"/>
      <c r="I1028" s="5"/>
      <c r="J1028" s="92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</row>
    <row r="1029">
      <c r="A1029" s="5"/>
      <c r="B1029" s="5"/>
      <c r="C1029" s="5"/>
      <c r="D1029" s="5"/>
      <c r="E1029" s="5"/>
      <c r="F1029" s="5"/>
      <c r="G1029" s="5"/>
      <c r="H1029" s="5"/>
      <c r="I1029" s="5"/>
      <c r="J1029" s="92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</row>
    <row r="1030">
      <c r="A1030" s="5"/>
      <c r="B1030" s="5"/>
      <c r="C1030" s="5"/>
      <c r="D1030" s="5"/>
      <c r="E1030" s="5"/>
      <c r="F1030" s="5"/>
      <c r="G1030" s="5"/>
      <c r="H1030" s="5"/>
      <c r="I1030" s="5"/>
      <c r="J1030" s="92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</row>
    <row r="1031">
      <c r="A1031" s="5"/>
      <c r="B1031" s="5"/>
      <c r="C1031" s="5"/>
      <c r="D1031" s="5"/>
      <c r="E1031" s="5"/>
      <c r="F1031" s="5"/>
      <c r="G1031" s="5"/>
      <c r="H1031" s="5"/>
      <c r="I1031" s="5"/>
      <c r="J1031" s="92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</row>
    <row r="1032">
      <c r="A1032" s="5"/>
      <c r="B1032" s="5"/>
      <c r="C1032" s="5"/>
      <c r="D1032" s="5"/>
      <c r="E1032" s="5"/>
      <c r="F1032" s="5"/>
      <c r="G1032" s="5"/>
      <c r="H1032" s="5"/>
      <c r="I1032" s="5"/>
      <c r="J1032" s="92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</row>
    <row r="1033">
      <c r="A1033" s="5"/>
      <c r="B1033" s="5"/>
      <c r="C1033" s="5"/>
      <c r="D1033" s="5"/>
      <c r="E1033" s="5"/>
      <c r="F1033" s="5"/>
      <c r="G1033" s="5"/>
      <c r="H1033" s="5"/>
      <c r="I1033" s="5"/>
      <c r="J1033" s="92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</row>
    <row r="1034">
      <c r="A1034" s="5"/>
      <c r="B1034" s="5"/>
      <c r="C1034" s="5"/>
      <c r="D1034" s="5"/>
      <c r="E1034" s="5"/>
      <c r="F1034" s="5"/>
      <c r="G1034" s="5"/>
      <c r="H1034" s="5"/>
      <c r="I1034" s="5"/>
      <c r="J1034" s="92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</row>
    <row r="1035">
      <c r="A1035" s="5"/>
      <c r="B1035" s="5"/>
      <c r="C1035" s="5"/>
      <c r="D1035" s="5"/>
      <c r="E1035" s="5"/>
      <c r="F1035" s="5"/>
      <c r="G1035" s="5"/>
      <c r="H1035" s="5"/>
      <c r="I1035" s="5"/>
      <c r="J1035" s="92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</row>
    <row r="1036">
      <c r="A1036" s="5"/>
      <c r="B1036" s="5"/>
      <c r="C1036" s="5"/>
      <c r="D1036" s="5"/>
      <c r="E1036" s="5"/>
      <c r="F1036" s="5"/>
      <c r="G1036" s="5"/>
      <c r="H1036" s="5"/>
      <c r="I1036" s="5"/>
      <c r="J1036" s="92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</row>
    <row r="1037">
      <c r="J1037" s="418"/>
    </row>
    <row r="1038">
      <c r="J1038" s="418"/>
    </row>
    <row r="1039">
      <c r="J1039" s="418"/>
    </row>
    <row r="1040">
      <c r="J1040" s="418"/>
    </row>
    <row r="1041">
      <c r="J1041" s="418"/>
    </row>
    <row r="1042">
      <c r="J1042" s="418"/>
    </row>
    <row r="1043">
      <c r="J1043" s="418"/>
    </row>
    <row r="1044">
      <c r="J1044" s="418"/>
    </row>
    <row r="1045">
      <c r="J1045" s="418"/>
    </row>
    <row r="1046">
      <c r="J1046" s="418"/>
    </row>
    <row r="1047">
      <c r="J1047" s="418"/>
    </row>
    <row r="1048">
      <c r="J1048" s="418"/>
    </row>
    <row r="1049">
      <c r="J1049" s="418"/>
    </row>
    <row r="1050">
      <c r="J1050" s="418"/>
    </row>
    <row r="1051">
      <c r="J1051" s="418"/>
    </row>
    <row r="1052">
      <c r="J1052" s="418"/>
    </row>
    <row r="1053">
      <c r="J1053" s="418"/>
    </row>
  </sheetData>
  <mergeCells count="96">
    <mergeCell ref="A152:A164"/>
    <mergeCell ref="A167:A179"/>
    <mergeCell ref="A181:A192"/>
    <mergeCell ref="A195:A206"/>
    <mergeCell ref="A211:A218"/>
    <mergeCell ref="A221:A228"/>
    <mergeCell ref="A231:A238"/>
    <mergeCell ref="A321:A332"/>
    <mergeCell ref="A335:A346"/>
    <mergeCell ref="A349:A357"/>
    <mergeCell ref="A360:A368"/>
    <mergeCell ref="A371:A379"/>
    <mergeCell ref="A381:A386"/>
    <mergeCell ref="A389:A394"/>
    <mergeCell ref="A240:A247"/>
    <mergeCell ref="A249:A254"/>
    <mergeCell ref="A257:A262"/>
    <mergeCell ref="A265:A270"/>
    <mergeCell ref="A273:A286"/>
    <mergeCell ref="A289:A300"/>
    <mergeCell ref="A305:A316"/>
    <mergeCell ref="B218:F218"/>
    <mergeCell ref="B221:K221"/>
    <mergeCell ref="B228:F228"/>
    <mergeCell ref="B231:K231"/>
    <mergeCell ref="B238:F238"/>
    <mergeCell ref="B240:K240"/>
    <mergeCell ref="B249:K249"/>
    <mergeCell ref="B247:F247"/>
    <mergeCell ref="B254:F254"/>
    <mergeCell ref="B257:K257"/>
    <mergeCell ref="B262:F262"/>
    <mergeCell ref="B265:K265"/>
    <mergeCell ref="B270:F270"/>
    <mergeCell ref="B273:K273"/>
    <mergeCell ref="B286:F286"/>
    <mergeCell ref="B289:K289"/>
    <mergeCell ref="B302:F302"/>
    <mergeCell ref="B305:K305"/>
    <mergeCell ref="B318:F318"/>
    <mergeCell ref="B321:K321"/>
    <mergeCell ref="B335:K335"/>
    <mergeCell ref="B332:F332"/>
    <mergeCell ref="B346:F346"/>
    <mergeCell ref="B349:K349"/>
    <mergeCell ref="B357:F357"/>
    <mergeCell ref="B360:K360"/>
    <mergeCell ref="B368:F368"/>
    <mergeCell ref="B371:K371"/>
    <mergeCell ref="A2:A13"/>
    <mergeCell ref="B2:K2"/>
    <mergeCell ref="B13:F13"/>
    <mergeCell ref="A16:A27"/>
    <mergeCell ref="B16:K16"/>
    <mergeCell ref="B27:F27"/>
    <mergeCell ref="B30:K30"/>
    <mergeCell ref="A30:A41"/>
    <mergeCell ref="B41:F41"/>
    <mergeCell ref="A44:A55"/>
    <mergeCell ref="B44:K44"/>
    <mergeCell ref="B55:F55"/>
    <mergeCell ref="B58:K58"/>
    <mergeCell ref="B72:K72"/>
    <mergeCell ref="B69:F69"/>
    <mergeCell ref="B83:F83"/>
    <mergeCell ref="B86:K86"/>
    <mergeCell ref="B95:F95"/>
    <mergeCell ref="B98:K98"/>
    <mergeCell ref="B104:F104"/>
    <mergeCell ref="B107:K107"/>
    <mergeCell ref="A58:A68"/>
    <mergeCell ref="A72:A83"/>
    <mergeCell ref="A86:A95"/>
    <mergeCell ref="A98:A104"/>
    <mergeCell ref="A107:A119"/>
    <mergeCell ref="A122:A134"/>
    <mergeCell ref="A137:A149"/>
    <mergeCell ref="B119:F119"/>
    <mergeCell ref="B122:K122"/>
    <mergeCell ref="B134:F134"/>
    <mergeCell ref="B137:K137"/>
    <mergeCell ref="B149:F149"/>
    <mergeCell ref="B152:K152"/>
    <mergeCell ref="B167:K167"/>
    <mergeCell ref="B164:F164"/>
    <mergeCell ref="B178:F178"/>
    <mergeCell ref="B181:K181"/>
    <mergeCell ref="B192:F192"/>
    <mergeCell ref="B195:K195"/>
    <mergeCell ref="B206:F206"/>
    <mergeCell ref="B211:K211"/>
    <mergeCell ref="B379:F379"/>
    <mergeCell ref="B381:K381"/>
    <mergeCell ref="B386:F386"/>
    <mergeCell ref="B389:K389"/>
    <mergeCell ref="B394:F39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3" max="3" width="65.13"/>
    <col customWidth="1" min="6" max="6" width="43.5"/>
    <col customWidth="1" min="7" max="7" width="17.38"/>
    <col customWidth="1" min="10" max="10" width="34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H1" s="2" t="s">
        <v>6</v>
      </c>
      <c r="I1" s="3" t="s">
        <v>7</v>
      </c>
      <c r="J1" s="3" t="s">
        <v>8</v>
      </c>
      <c r="K1" s="4" t="s">
        <v>9</v>
      </c>
      <c r="L1" s="4" t="s">
        <v>10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>
      <c r="A2" s="6" t="s">
        <v>11</v>
      </c>
      <c r="B2" s="7" t="s">
        <v>12</v>
      </c>
      <c r="C2" s="8" t="s">
        <v>13</v>
      </c>
      <c r="D2" s="10">
        <v>36330.0</v>
      </c>
      <c r="E2" s="10" t="s">
        <v>15</v>
      </c>
      <c r="F2" s="10" t="s">
        <v>16</v>
      </c>
      <c r="G2" s="10"/>
      <c r="H2" s="14">
        <v>3.0</v>
      </c>
      <c r="I2" s="16" t="s">
        <v>19</v>
      </c>
      <c r="J2" s="16" t="s">
        <v>20</v>
      </c>
      <c r="K2" s="19" t="s">
        <v>21</v>
      </c>
      <c r="L2" s="21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>
      <c r="A3" s="23"/>
      <c r="B3" s="7" t="s">
        <v>22</v>
      </c>
      <c r="C3" s="8" t="s">
        <v>23</v>
      </c>
      <c r="D3" s="10"/>
      <c r="E3" s="10" t="s">
        <v>24</v>
      </c>
      <c r="F3" s="10" t="s">
        <v>25</v>
      </c>
      <c r="G3" s="10"/>
      <c r="H3" s="14">
        <v>3.0</v>
      </c>
      <c r="I3" s="16" t="s">
        <v>19</v>
      </c>
      <c r="J3" s="25" t="s">
        <v>26</v>
      </c>
      <c r="K3" s="19" t="s">
        <v>28</v>
      </c>
      <c r="L3" s="21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>
      <c r="A4" s="23"/>
      <c r="B4" s="7" t="s">
        <v>29</v>
      </c>
      <c r="C4" s="8" t="s">
        <v>30</v>
      </c>
      <c r="D4" s="10"/>
      <c r="E4" s="10" t="s">
        <v>31</v>
      </c>
      <c r="F4" s="10" t="s">
        <v>32</v>
      </c>
      <c r="G4" s="10"/>
      <c r="H4" s="14">
        <v>3.0</v>
      </c>
      <c r="I4" s="16" t="s">
        <v>19</v>
      </c>
      <c r="J4" s="36" t="s">
        <v>41</v>
      </c>
      <c r="K4" s="36" t="s">
        <v>43</v>
      </c>
      <c r="L4" s="21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>
      <c r="A5" s="23"/>
      <c r="B5" s="44" t="s">
        <v>47</v>
      </c>
      <c r="C5" s="45" t="s">
        <v>50</v>
      </c>
      <c r="D5" s="47"/>
      <c r="E5" s="47" t="s">
        <v>54</v>
      </c>
      <c r="F5" s="10" t="s">
        <v>55</v>
      </c>
      <c r="G5" s="47"/>
      <c r="H5" s="50">
        <v>6.0</v>
      </c>
      <c r="I5" s="25" t="s">
        <v>58</v>
      </c>
      <c r="J5" s="25" t="s">
        <v>59</v>
      </c>
      <c r="K5" s="54" t="s">
        <v>60</v>
      </c>
      <c r="L5" s="21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>
      <c r="A6" s="23"/>
      <c r="B6" s="7" t="s">
        <v>66</v>
      </c>
      <c r="C6" s="8" t="s">
        <v>68</v>
      </c>
      <c r="D6" s="10"/>
      <c r="E6" s="10" t="s">
        <v>15</v>
      </c>
      <c r="F6" s="10" t="s">
        <v>69</v>
      </c>
      <c r="G6" s="14"/>
      <c r="H6" s="14">
        <v>1.5</v>
      </c>
      <c r="I6" s="16" t="s">
        <v>19</v>
      </c>
      <c r="J6" s="36" t="s">
        <v>70</v>
      </c>
      <c r="K6" s="58" t="s">
        <v>73</v>
      </c>
      <c r="L6" s="21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>
      <c r="A7" s="23"/>
      <c r="B7" s="7" t="s">
        <v>79</v>
      </c>
      <c r="C7" s="8" t="s">
        <v>80</v>
      </c>
      <c r="D7" s="10"/>
      <c r="E7" s="10" t="s">
        <v>83</v>
      </c>
      <c r="F7" s="10" t="s">
        <v>85</v>
      </c>
      <c r="G7" s="14"/>
      <c r="H7" s="14">
        <v>3.0</v>
      </c>
      <c r="I7" s="16" t="s">
        <v>19</v>
      </c>
      <c r="J7" s="16" t="s">
        <v>91</v>
      </c>
      <c r="K7" s="69" t="s">
        <v>92</v>
      </c>
      <c r="L7" s="21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>
      <c r="A8" s="23"/>
      <c r="B8" s="7" t="s">
        <v>94</v>
      </c>
      <c r="C8" s="8" t="s">
        <v>95</v>
      </c>
      <c r="D8" s="10"/>
      <c r="E8" s="10" t="s">
        <v>15</v>
      </c>
      <c r="F8" s="10" t="s">
        <v>106</v>
      </c>
      <c r="G8" s="14"/>
      <c r="H8" s="14">
        <v>3.0</v>
      </c>
      <c r="I8" s="16" t="s">
        <v>19</v>
      </c>
      <c r="J8" s="46" t="s">
        <v>110</v>
      </c>
      <c r="K8" s="46" t="s">
        <v>112</v>
      </c>
      <c r="L8" s="21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>
      <c r="A9" s="23"/>
      <c r="B9" s="7" t="s">
        <v>122</v>
      </c>
      <c r="C9" s="8" t="s">
        <v>123</v>
      </c>
      <c r="D9" s="10"/>
      <c r="E9" s="10" t="s">
        <v>83</v>
      </c>
      <c r="F9" s="10" t="s">
        <v>129</v>
      </c>
      <c r="G9" s="10"/>
      <c r="H9" s="14">
        <v>3.0</v>
      </c>
      <c r="I9" s="16" t="s">
        <v>19</v>
      </c>
      <c r="J9" s="36" t="s">
        <v>132</v>
      </c>
      <c r="K9" s="36" t="s">
        <v>133</v>
      </c>
      <c r="L9" s="21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>
      <c r="A10" s="23"/>
      <c r="B10" s="7" t="s">
        <v>107</v>
      </c>
      <c r="C10" s="8" t="s">
        <v>108</v>
      </c>
      <c r="D10" s="10"/>
      <c r="E10" s="10" t="s">
        <v>31</v>
      </c>
      <c r="F10" s="10" t="s">
        <v>147</v>
      </c>
      <c r="G10" s="14"/>
      <c r="H10" s="14">
        <v>2.0</v>
      </c>
      <c r="I10" s="16" t="s">
        <v>149</v>
      </c>
      <c r="J10" s="36" t="s">
        <v>152</v>
      </c>
      <c r="K10" s="79" t="s">
        <v>153</v>
      </c>
      <c r="L10" s="21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>
      <c r="A11" s="23"/>
      <c r="B11" s="7" t="s">
        <v>165</v>
      </c>
      <c r="C11" s="8" t="s">
        <v>166</v>
      </c>
      <c r="D11" s="10"/>
      <c r="E11" s="10" t="s">
        <v>15</v>
      </c>
      <c r="F11" s="10" t="s">
        <v>160</v>
      </c>
      <c r="G11" s="10"/>
      <c r="H11" s="14">
        <v>3.0</v>
      </c>
      <c r="I11" s="16" t="s">
        <v>19</v>
      </c>
      <c r="J11" s="36" t="s">
        <v>126</v>
      </c>
      <c r="K11" s="87" t="s">
        <v>168</v>
      </c>
      <c r="L11" s="21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>
      <c r="A12" s="23"/>
      <c r="B12" s="7" t="s">
        <v>174</v>
      </c>
      <c r="C12" s="8" t="s">
        <v>176</v>
      </c>
      <c r="D12" s="10"/>
      <c r="E12" s="10" t="s">
        <v>31</v>
      </c>
      <c r="F12" s="10" t="s">
        <v>177</v>
      </c>
      <c r="G12" s="10"/>
      <c r="H12" s="14">
        <v>3.0</v>
      </c>
      <c r="I12" s="16" t="s">
        <v>19</v>
      </c>
      <c r="J12" s="36" t="s">
        <v>180</v>
      </c>
      <c r="K12" s="91" t="s">
        <v>181</v>
      </c>
      <c r="L12" s="21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>
      <c r="A13" s="85"/>
      <c r="B13" s="86" t="s">
        <v>167</v>
      </c>
      <c r="C13" s="13"/>
      <c r="D13" s="13"/>
      <c r="E13" s="13"/>
      <c r="F13" s="18"/>
      <c r="G13" s="95"/>
      <c r="H13" s="88">
        <f>SUM(H2:H12)</f>
        <v>33.5</v>
      </c>
      <c r="I13" s="92"/>
      <c r="J13" s="92"/>
      <c r="K13" s="92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>
      <c r="A14" s="5"/>
      <c r="B14" s="5"/>
      <c r="C14" s="5"/>
      <c r="D14" s="5"/>
      <c r="E14" s="5"/>
      <c r="F14" s="5"/>
      <c r="G14" s="5"/>
      <c r="H14" s="5"/>
      <c r="I14" s="92"/>
      <c r="J14" s="92"/>
      <c r="K14" s="92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>
      <c r="A15" s="5"/>
      <c r="B15" s="5"/>
      <c r="C15" s="5"/>
      <c r="D15" s="5"/>
      <c r="E15" s="5"/>
      <c r="F15" s="5"/>
      <c r="G15" s="5"/>
      <c r="H15" s="5"/>
      <c r="I15" s="92"/>
      <c r="J15" s="92"/>
      <c r="K15" s="92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>
      <c r="A16" s="100" t="s">
        <v>201</v>
      </c>
      <c r="B16" s="17" t="s">
        <v>201</v>
      </c>
      <c r="C16" s="13"/>
      <c r="D16" s="13"/>
      <c r="E16" s="13"/>
      <c r="F16" s="13"/>
      <c r="G16" s="13"/>
      <c r="H16" s="13"/>
      <c r="I16" s="13"/>
      <c r="J16" s="13"/>
      <c r="K16" s="13"/>
      <c r="L16" s="18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>
      <c r="B17" s="2" t="s">
        <v>1</v>
      </c>
      <c r="C17" s="2" t="s">
        <v>2</v>
      </c>
      <c r="D17" s="2" t="s">
        <v>3</v>
      </c>
      <c r="E17" s="2" t="s">
        <v>4</v>
      </c>
      <c r="F17" s="2" t="s">
        <v>5</v>
      </c>
      <c r="G17" s="2"/>
      <c r="H17" s="2" t="s">
        <v>6</v>
      </c>
      <c r="I17" s="102" t="s">
        <v>210</v>
      </c>
      <c r="J17" s="29" t="s">
        <v>8</v>
      </c>
      <c r="K17" s="29" t="s">
        <v>9</v>
      </c>
      <c r="L17" s="27" t="s">
        <v>10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>
      <c r="B18" s="33" t="s">
        <v>12</v>
      </c>
      <c r="C18" s="34" t="s">
        <v>13</v>
      </c>
      <c r="D18" s="33"/>
      <c r="E18" s="35" t="s">
        <v>24</v>
      </c>
      <c r="F18" s="35" t="s">
        <v>25</v>
      </c>
      <c r="G18" s="35"/>
      <c r="H18" s="33">
        <v>3.0</v>
      </c>
      <c r="I18" s="36" t="s">
        <v>58</v>
      </c>
      <c r="J18" s="25" t="s">
        <v>59</v>
      </c>
      <c r="K18" s="62" t="s">
        <v>222</v>
      </c>
      <c r="L18" s="21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>
      <c r="B19" s="33" t="s">
        <v>22</v>
      </c>
      <c r="C19" s="34" t="s">
        <v>23</v>
      </c>
      <c r="D19" s="33"/>
      <c r="E19" s="35" t="s">
        <v>54</v>
      </c>
      <c r="F19" s="35" t="s">
        <v>231</v>
      </c>
      <c r="G19" s="35"/>
      <c r="H19" s="33">
        <v>3.0</v>
      </c>
      <c r="I19" s="36" t="s">
        <v>232</v>
      </c>
      <c r="J19" s="36" t="s">
        <v>233</v>
      </c>
      <c r="K19" s="36" t="s">
        <v>234</v>
      </c>
      <c r="L19" s="36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>
      <c r="B20" s="33" t="s">
        <v>29</v>
      </c>
      <c r="C20" s="34" t="s">
        <v>30</v>
      </c>
      <c r="D20" s="33"/>
      <c r="E20" s="35" t="s">
        <v>31</v>
      </c>
      <c r="F20" s="35" t="s">
        <v>240</v>
      </c>
      <c r="G20" s="35"/>
      <c r="H20" s="33">
        <v>3.0</v>
      </c>
      <c r="I20" s="36" t="s">
        <v>242</v>
      </c>
      <c r="J20" s="36" t="s">
        <v>41</v>
      </c>
      <c r="K20" s="36" t="s">
        <v>245</v>
      </c>
      <c r="L20" s="21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>
      <c r="B21" s="113" t="s">
        <v>47</v>
      </c>
      <c r="C21" s="114" t="s">
        <v>50</v>
      </c>
      <c r="D21" s="113"/>
      <c r="E21" s="115" t="s">
        <v>54</v>
      </c>
      <c r="F21" s="35" t="s">
        <v>55</v>
      </c>
      <c r="G21" s="115"/>
      <c r="H21" s="113">
        <v>6.0</v>
      </c>
      <c r="I21" s="36" t="s">
        <v>242</v>
      </c>
      <c r="J21" s="25" t="s">
        <v>26</v>
      </c>
      <c r="K21" s="36" t="s">
        <v>256</v>
      </c>
      <c r="L21" s="21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>
      <c r="B22" s="33" t="s">
        <v>66</v>
      </c>
      <c r="C22" s="34" t="s">
        <v>68</v>
      </c>
      <c r="D22" s="33"/>
      <c r="E22" s="35" t="s">
        <v>24</v>
      </c>
      <c r="F22" s="35" t="s">
        <v>263</v>
      </c>
      <c r="G22" s="33"/>
      <c r="H22" s="33">
        <v>1.5</v>
      </c>
      <c r="I22" s="36" t="s">
        <v>242</v>
      </c>
      <c r="J22" s="36" t="s">
        <v>152</v>
      </c>
      <c r="K22" s="36" t="s">
        <v>268</v>
      </c>
      <c r="L22" s="21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>
      <c r="B23" s="33" t="s">
        <v>79</v>
      </c>
      <c r="C23" s="34" t="s">
        <v>80</v>
      </c>
      <c r="D23" s="33"/>
      <c r="E23" s="35" t="s">
        <v>276</v>
      </c>
      <c r="F23" s="35" t="s">
        <v>277</v>
      </c>
      <c r="G23" s="35"/>
      <c r="H23" s="33">
        <v>3.0</v>
      </c>
      <c r="I23" s="36" t="s">
        <v>242</v>
      </c>
      <c r="J23" s="36" t="s">
        <v>235</v>
      </c>
      <c r="K23" s="69" t="s">
        <v>278</v>
      </c>
      <c r="L23" s="21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>
      <c r="B24" s="33" t="s">
        <v>94</v>
      </c>
      <c r="C24" s="34" t="s">
        <v>95</v>
      </c>
      <c r="D24" s="33"/>
      <c r="E24" s="35" t="s">
        <v>24</v>
      </c>
      <c r="F24" s="35" t="s">
        <v>282</v>
      </c>
      <c r="G24" s="33"/>
      <c r="H24" s="33">
        <v>3.0</v>
      </c>
      <c r="I24" s="36" t="s">
        <v>242</v>
      </c>
      <c r="J24" s="46" t="s">
        <v>110</v>
      </c>
      <c r="K24" s="127" t="s">
        <v>284</v>
      </c>
      <c r="L24" s="21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>
      <c r="B25" s="33" t="s">
        <v>122</v>
      </c>
      <c r="C25" s="34" t="s">
        <v>123</v>
      </c>
      <c r="D25" s="33"/>
      <c r="E25" s="35" t="s">
        <v>31</v>
      </c>
      <c r="F25" s="35" t="s">
        <v>286</v>
      </c>
      <c r="G25" s="35"/>
      <c r="H25" s="33">
        <v>3.0</v>
      </c>
      <c r="I25" s="36" t="s">
        <v>242</v>
      </c>
      <c r="J25" s="16" t="s">
        <v>132</v>
      </c>
      <c r="K25" s="19" t="s">
        <v>287</v>
      </c>
      <c r="L25" s="21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>
      <c r="B26" s="33" t="s">
        <v>107</v>
      </c>
      <c r="C26" s="34" t="s">
        <v>108</v>
      </c>
      <c r="D26" s="33"/>
      <c r="E26" s="35" t="s">
        <v>24</v>
      </c>
      <c r="F26" s="35" t="s">
        <v>289</v>
      </c>
      <c r="G26" s="35"/>
      <c r="H26" s="33">
        <v>2.0</v>
      </c>
      <c r="I26" s="36" t="s">
        <v>291</v>
      </c>
      <c r="J26" s="36" t="s">
        <v>292</v>
      </c>
      <c r="K26" s="133" t="s">
        <v>293</v>
      </c>
      <c r="L26" s="21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>
      <c r="B27" s="33" t="s">
        <v>165</v>
      </c>
      <c r="C27" s="34" t="s">
        <v>166</v>
      </c>
      <c r="D27" s="33"/>
      <c r="E27" s="35" t="s">
        <v>31</v>
      </c>
      <c r="F27" s="35" t="s">
        <v>124</v>
      </c>
      <c r="G27" s="35"/>
      <c r="H27" s="33">
        <v>3.0</v>
      </c>
      <c r="I27" s="36" t="s">
        <v>242</v>
      </c>
      <c r="J27" s="36" t="s">
        <v>126</v>
      </c>
      <c r="K27" s="76" t="s">
        <v>298</v>
      </c>
      <c r="L27" s="21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>
      <c r="B28" s="33" t="s">
        <v>174</v>
      </c>
      <c r="C28" s="34" t="s">
        <v>176</v>
      </c>
      <c r="D28" s="33"/>
      <c r="E28" s="35" t="s">
        <v>54</v>
      </c>
      <c r="F28" s="35" t="s">
        <v>48</v>
      </c>
      <c r="G28" s="33"/>
      <c r="H28" s="33">
        <v>3.0</v>
      </c>
      <c r="I28" s="36" t="s">
        <v>242</v>
      </c>
      <c r="J28" s="36" t="s">
        <v>306</v>
      </c>
      <c r="K28" s="36" t="s">
        <v>308</v>
      </c>
      <c r="L28" s="21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>
      <c r="B29" s="86" t="s">
        <v>167</v>
      </c>
      <c r="C29" s="13"/>
      <c r="D29" s="13"/>
      <c r="E29" s="13"/>
      <c r="F29" s="18"/>
      <c r="G29" s="95"/>
      <c r="H29" s="88">
        <f>SUM(H18:H28)</f>
        <v>33.5</v>
      </c>
      <c r="I29" s="92"/>
      <c r="J29" s="92"/>
      <c r="K29" s="92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>
      <c r="A30" s="5"/>
      <c r="B30" s="5"/>
      <c r="C30" s="5"/>
      <c r="D30" s="5"/>
      <c r="E30" s="5"/>
      <c r="F30" s="5"/>
      <c r="G30" s="5"/>
      <c r="H30" s="5"/>
      <c r="I30" s="92"/>
      <c r="J30" s="92"/>
      <c r="K30" s="92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>
      <c r="A31" s="5"/>
      <c r="B31" s="5"/>
      <c r="C31" s="5"/>
      <c r="D31" s="5"/>
      <c r="E31" s="5"/>
      <c r="F31" s="5"/>
      <c r="G31" s="5"/>
      <c r="H31" s="5"/>
      <c r="I31" s="92"/>
      <c r="J31" s="92"/>
      <c r="K31" s="92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>
      <c r="A32" s="100" t="s">
        <v>327</v>
      </c>
      <c r="B32" s="17" t="s">
        <v>327</v>
      </c>
      <c r="C32" s="13"/>
      <c r="D32" s="13"/>
      <c r="E32" s="13"/>
      <c r="F32" s="13"/>
      <c r="G32" s="13"/>
      <c r="H32" s="13"/>
      <c r="I32" s="13"/>
      <c r="J32" s="13"/>
      <c r="K32" s="13"/>
      <c r="L32" s="18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>
      <c r="B33" s="2" t="s">
        <v>1</v>
      </c>
      <c r="C33" s="2" t="s">
        <v>2</v>
      </c>
      <c r="D33" s="2" t="s">
        <v>3</v>
      </c>
      <c r="E33" s="2" t="s">
        <v>4</v>
      </c>
      <c r="F33" s="2" t="s">
        <v>5</v>
      </c>
      <c r="G33" s="2"/>
      <c r="H33" s="2" t="s">
        <v>6</v>
      </c>
      <c r="I33" s="102" t="s">
        <v>7</v>
      </c>
      <c r="J33" s="29" t="s">
        <v>8</v>
      </c>
      <c r="K33" s="29" t="s">
        <v>9</v>
      </c>
      <c r="L33" s="27" t="s">
        <v>10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>
      <c r="B34" s="33" t="s">
        <v>12</v>
      </c>
      <c r="C34" s="34" t="s">
        <v>13</v>
      </c>
      <c r="D34" s="33"/>
      <c r="E34" s="35" t="s">
        <v>54</v>
      </c>
      <c r="F34" s="33"/>
      <c r="G34" s="33"/>
      <c r="H34" s="33">
        <v>3.0</v>
      </c>
      <c r="I34" s="16" t="s">
        <v>49</v>
      </c>
      <c r="J34" s="144"/>
      <c r="K34" s="144"/>
      <c r="L34" s="21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>
      <c r="B35" s="33" t="s">
        <v>22</v>
      </c>
      <c r="C35" s="34" t="s">
        <v>23</v>
      </c>
      <c r="D35" s="33"/>
      <c r="E35" s="35" t="s">
        <v>54</v>
      </c>
      <c r="F35" s="35" t="s">
        <v>342</v>
      </c>
      <c r="G35" s="33"/>
      <c r="H35" s="33">
        <v>3.0</v>
      </c>
      <c r="I35" s="16" t="s">
        <v>232</v>
      </c>
      <c r="J35" s="36" t="s">
        <v>233</v>
      </c>
      <c r="K35" s="36" t="s">
        <v>344</v>
      </c>
      <c r="L35" s="36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>
      <c r="B36" s="33" t="s">
        <v>29</v>
      </c>
      <c r="C36" s="34" t="s">
        <v>30</v>
      </c>
      <c r="D36" s="33"/>
      <c r="E36" s="35" t="s">
        <v>54</v>
      </c>
      <c r="F36" s="33"/>
      <c r="G36" s="33"/>
      <c r="H36" s="33">
        <v>3.0</v>
      </c>
      <c r="I36" s="16" t="s">
        <v>49</v>
      </c>
      <c r="J36" s="90"/>
      <c r="K36" s="90"/>
      <c r="L36" s="21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>
      <c r="B37" s="113" t="s">
        <v>47</v>
      </c>
      <c r="C37" s="114" t="s">
        <v>50</v>
      </c>
      <c r="D37" s="115">
        <v>36380.0</v>
      </c>
      <c r="E37" s="115" t="s">
        <v>54</v>
      </c>
      <c r="F37" s="35" t="s">
        <v>55</v>
      </c>
      <c r="G37" s="115"/>
      <c r="H37" s="113">
        <v>6.0</v>
      </c>
      <c r="I37" s="16" t="s">
        <v>49</v>
      </c>
      <c r="J37" s="36" t="s">
        <v>352</v>
      </c>
      <c r="K37" s="36" t="s">
        <v>353</v>
      </c>
      <c r="L37" s="21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>
      <c r="B38" s="33" t="s">
        <v>66</v>
      </c>
      <c r="C38" s="34" t="s">
        <v>68</v>
      </c>
      <c r="D38" s="33"/>
      <c r="E38" s="35" t="s">
        <v>31</v>
      </c>
      <c r="F38" s="35" t="s">
        <v>356</v>
      </c>
      <c r="G38" s="33"/>
      <c r="H38" s="33">
        <v>1.5</v>
      </c>
      <c r="I38" s="16" t="s">
        <v>49</v>
      </c>
      <c r="J38" s="36" t="s">
        <v>316</v>
      </c>
      <c r="K38" s="139" t="s">
        <v>358</v>
      </c>
      <c r="L38" s="21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>
      <c r="B39" s="33" t="s">
        <v>79</v>
      </c>
      <c r="C39" s="34" t="s">
        <v>80</v>
      </c>
      <c r="D39" s="33"/>
      <c r="E39" s="35" t="s">
        <v>217</v>
      </c>
      <c r="F39" s="35" t="s">
        <v>85</v>
      </c>
      <c r="G39" s="33"/>
      <c r="H39" s="33">
        <v>3.0</v>
      </c>
      <c r="I39" s="16" t="s">
        <v>49</v>
      </c>
      <c r="J39" s="36" t="s">
        <v>235</v>
      </c>
      <c r="K39" s="69" t="s">
        <v>363</v>
      </c>
      <c r="L39" s="21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>
      <c r="B40" s="33" t="s">
        <v>94</v>
      </c>
      <c r="C40" s="34" t="s">
        <v>95</v>
      </c>
      <c r="D40" s="33"/>
      <c r="E40" s="35" t="s">
        <v>31</v>
      </c>
      <c r="F40" s="35" t="s">
        <v>282</v>
      </c>
      <c r="G40" s="33"/>
      <c r="H40" s="33">
        <v>3.0</v>
      </c>
      <c r="I40" s="16" t="s">
        <v>49</v>
      </c>
      <c r="J40" s="36" t="s">
        <v>110</v>
      </c>
      <c r="K40" s="153" t="s">
        <v>366</v>
      </c>
      <c r="L40" s="21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>
      <c r="B41" s="33" t="s">
        <v>122</v>
      </c>
      <c r="C41" s="34" t="s">
        <v>123</v>
      </c>
      <c r="D41" s="33"/>
      <c r="E41" s="35" t="s">
        <v>15</v>
      </c>
      <c r="F41" s="35" t="s">
        <v>370</v>
      </c>
      <c r="G41" s="35"/>
      <c r="H41" s="33">
        <v>3.0</v>
      </c>
      <c r="I41" s="16" t="s">
        <v>49</v>
      </c>
      <c r="J41" s="19" t="s">
        <v>132</v>
      </c>
      <c r="K41" s="19" t="s">
        <v>373</v>
      </c>
      <c r="L41" s="21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>
      <c r="B42" s="33" t="s">
        <v>107</v>
      </c>
      <c r="C42" s="34" t="s">
        <v>108</v>
      </c>
      <c r="D42" s="33"/>
      <c r="E42" s="35" t="s">
        <v>71</v>
      </c>
      <c r="F42" s="35" t="s">
        <v>379</v>
      </c>
      <c r="G42" s="35"/>
      <c r="H42" s="33">
        <v>2.0</v>
      </c>
      <c r="I42" s="16" t="s">
        <v>111</v>
      </c>
      <c r="J42" s="36" t="s">
        <v>292</v>
      </c>
      <c r="K42" s="79" t="s">
        <v>381</v>
      </c>
      <c r="L42" s="21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>
      <c r="B43" s="33" t="s">
        <v>165</v>
      </c>
      <c r="C43" s="34" t="s">
        <v>166</v>
      </c>
      <c r="D43" s="33"/>
      <c r="E43" s="35" t="s">
        <v>71</v>
      </c>
      <c r="F43" s="35" t="s">
        <v>124</v>
      </c>
      <c r="G43" s="35"/>
      <c r="H43" s="33">
        <v>3.0</v>
      </c>
      <c r="I43" s="16" t="s">
        <v>49</v>
      </c>
      <c r="J43" s="36" t="s">
        <v>384</v>
      </c>
      <c r="K43" s="76" t="s">
        <v>386</v>
      </c>
      <c r="L43" s="21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>
      <c r="B44" s="33" t="s">
        <v>174</v>
      </c>
      <c r="C44" s="34" t="s">
        <v>176</v>
      </c>
      <c r="D44" s="35">
        <v>36370.0</v>
      </c>
      <c r="E44" s="35" t="s">
        <v>31</v>
      </c>
      <c r="F44" s="35" t="s">
        <v>393</v>
      </c>
      <c r="G44" s="35"/>
      <c r="H44" s="33">
        <v>3.0</v>
      </c>
      <c r="I44" s="16" t="s">
        <v>49</v>
      </c>
      <c r="J44" s="158" t="s">
        <v>394</v>
      </c>
      <c r="K44" s="122" t="s">
        <v>395</v>
      </c>
      <c r="L44" s="21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>
      <c r="B45" s="86" t="s">
        <v>167</v>
      </c>
      <c r="C45" s="13"/>
      <c r="D45" s="13"/>
      <c r="E45" s="13"/>
      <c r="F45" s="18"/>
      <c r="G45" s="95"/>
      <c r="H45" s="88">
        <f>SUM(H34:H44)</f>
        <v>33.5</v>
      </c>
      <c r="I45" s="90"/>
      <c r="J45" s="90"/>
      <c r="K45" s="157"/>
      <c r="L45" s="21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>
      <c r="A46" s="5"/>
      <c r="B46" s="5"/>
      <c r="C46" s="5"/>
      <c r="D46" s="5"/>
      <c r="E46" s="5"/>
      <c r="F46" s="5"/>
      <c r="G46" s="5"/>
      <c r="H46" s="5"/>
      <c r="I46" s="92"/>
      <c r="J46" s="92"/>
      <c r="K46" s="92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>
      <c r="A47" s="5"/>
      <c r="B47" s="5"/>
      <c r="C47" s="5"/>
      <c r="D47" s="5"/>
      <c r="E47" s="5"/>
      <c r="F47" s="5"/>
      <c r="G47" s="5"/>
      <c r="H47" s="5"/>
      <c r="I47" s="92"/>
      <c r="J47" s="92"/>
      <c r="K47" s="92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>
      <c r="A48" s="100" t="s">
        <v>412</v>
      </c>
      <c r="B48" s="17" t="s">
        <v>412</v>
      </c>
      <c r="C48" s="13"/>
      <c r="D48" s="13"/>
      <c r="E48" s="13"/>
      <c r="F48" s="13"/>
      <c r="G48" s="13"/>
      <c r="H48" s="13"/>
      <c r="I48" s="13"/>
      <c r="J48" s="13"/>
      <c r="K48" s="13"/>
      <c r="L48" s="18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>
      <c r="B49" s="2" t="s">
        <v>1</v>
      </c>
      <c r="C49" s="2" t="s">
        <v>2</v>
      </c>
      <c r="D49" s="2" t="s">
        <v>3</v>
      </c>
      <c r="E49" s="2" t="s">
        <v>4</v>
      </c>
      <c r="F49" s="2" t="s">
        <v>5</v>
      </c>
      <c r="G49" s="2"/>
      <c r="H49" s="2" t="s">
        <v>6</v>
      </c>
      <c r="I49" s="102" t="s">
        <v>210</v>
      </c>
      <c r="J49" s="29" t="s">
        <v>8</v>
      </c>
      <c r="K49" s="29" t="s">
        <v>9</v>
      </c>
      <c r="L49" s="27" t="s">
        <v>10</v>
      </c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>
      <c r="B50" s="165" t="s">
        <v>421</v>
      </c>
      <c r="C50" s="166" t="s">
        <v>422</v>
      </c>
      <c r="D50" s="167"/>
      <c r="E50" s="167" t="s">
        <v>54</v>
      </c>
      <c r="F50" s="35" t="s">
        <v>186</v>
      </c>
      <c r="G50" s="165"/>
      <c r="H50" s="33">
        <v>3.0</v>
      </c>
      <c r="I50" s="36" t="s">
        <v>64</v>
      </c>
      <c r="J50" s="36" t="s">
        <v>425</v>
      </c>
      <c r="K50" s="19" t="s">
        <v>426</v>
      </c>
      <c r="L50" s="21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>
      <c r="B51" s="165" t="s">
        <v>359</v>
      </c>
      <c r="C51" s="166" t="s">
        <v>360</v>
      </c>
      <c r="D51" s="167">
        <v>36390.0</v>
      </c>
      <c r="E51" s="167" t="s">
        <v>31</v>
      </c>
      <c r="F51" s="167" t="s">
        <v>430</v>
      </c>
      <c r="G51" s="165"/>
      <c r="H51" s="33">
        <v>3.0</v>
      </c>
      <c r="I51" s="36" t="s">
        <v>64</v>
      </c>
      <c r="J51" s="81" t="s">
        <v>431</v>
      </c>
      <c r="K51" s="81" t="s">
        <v>432</v>
      </c>
      <c r="L51" s="21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>
      <c r="B52" s="165" t="s">
        <v>433</v>
      </c>
      <c r="C52" s="166" t="s">
        <v>434</v>
      </c>
      <c r="D52" s="167"/>
      <c r="E52" s="167" t="s">
        <v>31</v>
      </c>
      <c r="F52" s="167" t="s">
        <v>436</v>
      </c>
      <c r="G52" s="167"/>
      <c r="H52" s="33">
        <v>3.0</v>
      </c>
      <c r="I52" s="36" t="s">
        <v>64</v>
      </c>
      <c r="J52" s="81" t="s">
        <v>41</v>
      </c>
      <c r="K52" s="169" t="s">
        <v>437</v>
      </c>
      <c r="L52" s="21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>
      <c r="B53" s="165" t="s">
        <v>438</v>
      </c>
      <c r="C53" s="166" t="s">
        <v>439</v>
      </c>
      <c r="D53" s="167"/>
      <c r="E53" s="167" t="s">
        <v>83</v>
      </c>
      <c r="F53" s="165"/>
      <c r="G53" s="165"/>
      <c r="H53" s="33">
        <v>3.0</v>
      </c>
      <c r="I53" s="36" t="s">
        <v>64</v>
      </c>
      <c r="J53" s="90"/>
      <c r="K53" s="90"/>
      <c r="L53" s="21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>
      <c r="B54" s="165" t="s">
        <v>441</v>
      </c>
      <c r="C54" s="166" t="s">
        <v>442</v>
      </c>
      <c r="D54" s="167">
        <v>36394.0</v>
      </c>
      <c r="E54" s="167" t="s">
        <v>71</v>
      </c>
      <c r="F54" s="167" t="s">
        <v>16</v>
      </c>
      <c r="G54" s="167"/>
      <c r="H54" s="33">
        <v>3.0</v>
      </c>
      <c r="I54" s="36" t="s">
        <v>64</v>
      </c>
      <c r="J54" s="36" t="s">
        <v>20</v>
      </c>
      <c r="K54" s="171" t="s">
        <v>444</v>
      </c>
      <c r="L54" s="21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>
      <c r="B55" s="165" t="s">
        <v>446</v>
      </c>
      <c r="C55" s="166" t="s">
        <v>448</v>
      </c>
      <c r="D55" s="167"/>
      <c r="E55" s="167" t="s">
        <v>54</v>
      </c>
      <c r="F55" s="167" t="s">
        <v>449</v>
      </c>
      <c r="G55" s="167"/>
      <c r="H55" s="33">
        <v>3.0</v>
      </c>
      <c r="I55" s="36" t="s">
        <v>58</v>
      </c>
      <c r="J55" s="25" t="s">
        <v>59</v>
      </c>
      <c r="K55" s="36" t="s">
        <v>450</v>
      </c>
      <c r="L55" s="21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>
      <c r="B56" s="165" t="s">
        <v>410</v>
      </c>
      <c r="C56" s="166" t="s">
        <v>453</v>
      </c>
      <c r="D56" s="167"/>
      <c r="E56" s="167" t="s">
        <v>15</v>
      </c>
      <c r="F56" s="167" t="s">
        <v>455</v>
      </c>
      <c r="G56" s="165"/>
      <c r="H56" s="33">
        <v>1.5</v>
      </c>
      <c r="I56" s="36" t="s">
        <v>64</v>
      </c>
      <c r="J56" s="36" t="s">
        <v>70</v>
      </c>
      <c r="K56" s="36" t="s">
        <v>461</v>
      </c>
      <c r="L56" s="119" t="s">
        <v>462</v>
      </c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>
      <c r="B57" s="165" t="s">
        <v>467</v>
      </c>
      <c r="C57" s="166" t="s">
        <v>469</v>
      </c>
      <c r="D57" s="167"/>
      <c r="E57" s="167" t="s">
        <v>15</v>
      </c>
      <c r="F57" s="167" t="s">
        <v>471</v>
      </c>
      <c r="G57" s="167"/>
      <c r="H57" s="33">
        <v>2.0</v>
      </c>
      <c r="I57" s="36" t="s">
        <v>149</v>
      </c>
      <c r="J57" s="177" t="s">
        <v>248</v>
      </c>
      <c r="K57" s="169" t="s">
        <v>475</v>
      </c>
      <c r="L57" s="21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>
      <c r="B58" s="165" t="s">
        <v>479</v>
      </c>
      <c r="C58" s="166" t="s">
        <v>480</v>
      </c>
      <c r="D58" s="167"/>
      <c r="E58" s="167" t="s">
        <v>54</v>
      </c>
      <c r="F58" s="167" t="s">
        <v>482</v>
      </c>
      <c r="G58" s="167"/>
      <c r="H58" s="33">
        <v>3.0</v>
      </c>
      <c r="I58" s="36" t="s">
        <v>64</v>
      </c>
      <c r="J58" s="36" t="s">
        <v>132</v>
      </c>
      <c r="K58" s="36" t="s">
        <v>484</v>
      </c>
      <c r="L58" s="21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>
      <c r="B59" s="165" t="s">
        <v>134</v>
      </c>
      <c r="C59" s="166" t="s">
        <v>135</v>
      </c>
      <c r="D59" s="167"/>
      <c r="E59" s="167" t="s">
        <v>83</v>
      </c>
      <c r="F59" s="167" t="s">
        <v>85</v>
      </c>
      <c r="G59" s="167"/>
      <c r="H59" s="33">
        <v>3.0</v>
      </c>
      <c r="I59" s="36" t="s">
        <v>242</v>
      </c>
      <c r="J59" s="136" t="s">
        <v>302</v>
      </c>
      <c r="K59" s="51" t="s">
        <v>498</v>
      </c>
      <c r="L59" s="21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>
      <c r="B60" s="183" t="s">
        <v>167</v>
      </c>
      <c r="C60" s="13"/>
      <c r="D60" s="13"/>
      <c r="E60" s="13"/>
      <c r="F60" s="18"/>
      <c r="G60" s="184"/>
      <c r="H60" s="88">
        <f>SUM(H50:H59)</f>
        <v>27.5</v>
      </c>
      <c r="I60" s="90"/>
      <c r="J60" s="90"/>
      <c r="K60" s="157"/>
      <c r="L60" s="21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>
      <c r="A61" s="5"/>
      <c r="B61" s="5"/>
      <c r="C61" s="5"/>
      <c r="D61" s="5"/>
      <c r="E61" s="5"/>
      <c r="F61" s="5"/>
      <c r="G61" s="5"/>
      <c r="H61" s="5"/>
      <c r="I61" s="92"/>
      <c r="J61" s="92"/>
      <c r="K61" s="92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>
      <c r="A62" s="5"/>
      <c r="B62" s="5"/>
      <c r="C62" s="5"/>
      <c r="D62" s="5"/>
      <c r="E62" s="5"/>
      <c r="F62" s="5"/>
      <c r="G62" s="5"/>
      <c r="H62" s="5"/>
      <c r="I62" s="92"/>
      <c r="J62" s="92"/>
      <c r="K62" s="92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>
      <c r="A63" s="100" t="s">
        <v>511</v>
      </c>
      <c r="B63" s="17" t="s">
        <v>511</v>
      </c>
      <c r="C63" s="13"/>
      <c r="D63" s="13"/>
      <c r="E63" s="13"/>
      <c r="F63" s="13"/>
      <c r="G63" s="13"/>
      <c r="H63" s="13"/>
      <c r="I63" s="13"/>
      <c r="J63" s="13"/>
      <c r="K63" s="13"/>
      <c r="L63" s="18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>
      <c r="B64" s="2" t="s">
        <v>1</v>
      </c>
      <c r="C64" s="2" t="s">
        <v>2</v>
      </c>
      <c r="D64" s="2" t="s">
        <v>3</v>
      </c>
      <c r="E64" s="2" t="s">
        <v>4</v>
      </c>
      <c r="F64" s="2" t="s">
        <v>5</v>
      </c>
      <c r="G64" s="2"/>
      <c r="H64" s="2" t="s">
        <v>6</v>
      </c>
      <c r="I64" s="102" t="s">
        <v>7</v>
      </c>
      <c r="J64" s="29" t="s">
        <v>8</v>
      </c>
      <c r="K64" s="29" t="s">
        <v>9</v>
      </c>
      <c r="L64" s="27" t="s">
        <v>10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>
      <c r="B65" s="33" t="s">
        <v>421</v>
      </c>
      <c r="C65" s="34" t="s">
        <v>422</v>
      </c>
      <c r="D65" s="33"/>
      <c r="E65" s="35" t="s">
        <v>54</v>
      </c>
      <c r="F65" s="35" t="s">
        <v>118</v>
      </c>
      <c r="G65" s="33"/>
      <c r="H65" s="33">
        <v>3.0</v>
      </c>
      <c r="I65" s="36" t="s">
        <v>350</v>
      </c>
      <c r="J65" s="36" t="s">
        <v>425</v>
      </c>
      <c r="K65" s="19" t="s">
        <v>528</v>
      </c>
      <c r="L65" s="21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>
      <c r="B66" s="33" t="s">
        <v>359</v>
      </c>
      <c r="C66" s="34" t="s">
        <v>360</v>
      </c>
      <c r="D66" s="33"/>
      <c r="E66" s="35" t="s">
        <v>24</v>
      </c>
      <c r="F66" s="35" t="s">
        <v>529</v>
      </c>
      <c r="G66" s="35"/>
      <c r="H66" s="33">
        <v>3.0</v>
      </c>
      <c r="I66" s="36" t="s">
        <v>64</v>
      </c>
      <c r="J66" s="36" t="s">
        <v>530</v>
      </c>
      <c r="K66" s="190" t="s">
        <v>532</v>
      </c>
      <c r="L66" s="21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>
      <c r="B67" s="33" t="s">
        <v>433</v>
      </c>
      <c r="C67" s="34" t="s">
        <v>434</v>
      </c>
      <c r="D67" s="33"/>
      <c r="E67" s="35" t="s">
        <v>24</v>
      </c>
      <c r="F67" s="35" t="s">
        <v>160</v>
      </c>
      <c r="G67" s="35"/>
      <c r="H67" s="33">
        <v>3.0</v>
      </c>
      <c r="I67" s="36" t="s">
        <v>64</v>
      </c>
      <c r="J67" s="36" t="s">
        <v>41</v>
      </c>
      <c r="K67" s="36" t="s">
        <v>535</v>
      </c>
      <c r="L67" s="21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>
      <c r="B68" s="33" t="s">
        <v>438</v>
      </c>
      <c r="C68" s="34" t="s">
        <v>439</v>
      </c>
      <c r="D68" s="33"/>
      <c r="E68" s="35" t="s">
        <v>31</v>
      </c>
      <c r="F68" s="33"/>
      <c r="G68" s="33"/>
      <c r="H68" s="33">
        <v>3.0</v>
      </c>
      <c r="I68" s="36" t="s">
        <v>350</v>
      </c>
      <c r="J68" s="90"/>
      <c r="K68" s="90"/>
      <c r="L68" s="21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>
      <c r="B69" s="33" t="s">
        <v>441</v>
      </c>
      <c r="C69" s="34" t="s">
        <v>442</v>
      </c>
      <c r="D69" s="35">
        <v>36408.0</v>
      </c>
      <c r="E69" s="35" t="s">
        <v>31</v>
      </c>
      <c r="F69" s="35" t="s">
        <v>542</v>
      </c>
      <c r="G69" s="35"/>
      <c r="H69" s="33">
        <v>3.0</v>
      </c>
      <c r="I69" s="36" t="s">
        <v>350</v>
      </c>
      <c r="J69" s="36" t="s">
        <v>20</v>
      </c>
      <c r="K69" s="171" t="s">
        <v>543</v>
      </c>
      <c r="L69" s="21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>
      <c r="B70" s="33" t="s">
        <v>446</v>
      </c>
      <c r="C70" s="34" t="s">
        <v>448</v>
      </c>
      <c r="D70" s="33"/>
      <c r="E70" s="35" t="s">
        <v>54</v>
      </c>
      <c r="F70" s="35" t="s">
        <v>449</v>
      </c>
      <c r="G70" s="35"/>
      <c r="H70" s="33">
        <v>3.0</v>
      </c>
      <c r="I70" s="36" t="s">
        <v>350</v>
      </c>
      <c r="J70" s="36" t="s">
        <v>26</v>
      </c>
      <c r="K70" s="36" t="s">
        <v>547</v>
      </c>
      <c r="L70" s="21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>
      <c r="B71" s="33" t="s">
        <v>410</v>
      </c>
      <c r="C71" s="34" t="s">
        <v>453</v>
      </c>
      <c r="D71" s="33"/>
      <c r="E71" s="35" t="s">
        <v>24</v>
      </c>
      <c r="F71" s="35" t="s">
        <v>549</v>
      </c>
      <c r="G71" s="33"/>
      <c r="H71" s="33">
        <v>1.5</v>
      </c>
      <c r="I71" s="36" t="s">
        <v>64</v>
      </c>
      <c r="J71" s="36" t="s">
        <v>316</v>
      </c>
      <c r="K71" s="139" t="s">
        <v>550</v>
      </c>
      <c r="L71" s="21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>
      <c r="B72" s="33" t="s">
        <v>467</v>
      </c>
      <c r="C72" s="34" t="s">
        <v>469</v>
      </c>
      <c r="D72" s="33"/>
      <c r="E72" s="35" t="s">
        <v>24</v>
      </c>
      <c r="F72" s="35" t="s">
        <v>558</v>
      </c>
      <c r="G72" s="33"/>
      <c r="H72" s="33">
        <v>2.0</v>
      </c>
      <c r="I72" s="192" t="s">
        <v>111</v>
      </c>
      <c r="J72" s="36" t="s">
        <v>292</v>
      </c>
      <c r="K72" s="36" t="s">
        <v>560</v>
      </c>
      <c r="L72" s="21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>
      <c r="B73" s="33" t="s">
        <v>479</v>
      </c>
      <c r="C73" s="34" t="s">
        <v>480</v>
      </c>
      <c r="D73" s="33"/>
      <c r="E73" s="35" t="s">
        <v>54</v>
      </c>
      <c r="F73" s="35" t="s">
        <v>16</v>
      </c>
      <c r="G73" s="35"/>
      <c r="H73" s="33">
        <v>3.0</v>
      </c>
      <c r="I73" s="36" t="s">
        <v>350</v>
      </c>
      <c r="J73" s="36" t="s">
        <v>565</v>
      </c>
      <c r="K73" s="36" t="s">
        <v>566</v>
      </c>
      <c r="L73" s="21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>
      <c r="B74" s="33" t="s">
        <v>134</v>
      </c>
      <c r="C74" s="34" t="s">
        <v>135</v>
      </c>
      <c r="D74" s="33"/>
      <c r="E74" s="35" t="s">
        <v>31</v>
      </c>
      <c r="F74" s="35" t="s">
        <v>85</v>
      </c>
      <c r="G74" s="35"/>
      <c r="H74" s="33">
        <v>3.0</v>
      </c>
      <c r="I74" s="36" t="s">
        <v>350</v>
      </c>
      <c r="J74" s="136" t="s">
        <v>302</v>
      </c>
      <c r="K74" s="51" t="s">
        <v>573</v>
      </c>
      <c r="L74" s="21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>
      <c r="B75" s="86" t="s">
        <v>167</v>
      </c>
      <c r="C75" s="13"/>
      <c r="D75" s="13"/>
      <c r="E75" s="13"/>
      <c r="F75" s="18"/>
      <c r="G75" s="95"/>
      <c r="H75" s="88">
        <f>SUM(H65:H74)</f>
        <v>27.5</v>
      </c>
      <c r="I75" s="90"/>
      <c r="J75" s="90"/>
      <c r="K75" s="157"/>
      <c r="L75" s="21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>
      <c r="A76" s="5"/>
      <c r="B76" s="5"/>
      <c r="C76" s="5"/>
      <c r="D76" s="5"/>
      <c r="E76" s="5"/>
      <c r="F76" s="5"/>
      <c r="G76" s="5"/>
      <c r="H76" s="5"/>
      <c r="I76" s="92"/>
      <c r="J76" s="92"/>
      <c r="K76" s="92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>
      <c r="A77" s="5"/>
      <c r="B77" s="5"/>
      <c r="C77" s="5"/>
      <c r="D77" s="5"/>
      <c r="E77" s="5"/>
      <c r="F77" s="5"/>
      <c r="G77" s="5"/>
      <c r="H77" s="5"/>
      <c r="I77" s="92"/>
      <c r="J77" s="92"/>
      <c r="K77" s="92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>
      <c r="A78" s="100" t="s">
        <v>582</v>
      </c>
      <c r="B78" s="17" t="s">
        <v>582</v>
      </c>
      <c r="C78" s="13"/>
      <c r="D78" s="13"/>
      <c r="E78" s="13"/>
      <c r="F78" s="13"/>
      <c r="G78" s="13"/>
      <c r="H78" s="13"/>
      <c r="I78" s="13"/>
      <c r="J78" s="13"/>
      <c r="K78" s="13"/>
      <c r="L78" s="18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>
      <c r="B79" s="2" t="s">
        <v>1</v>
      </c>
      <c r="C79" s="2" t="s">
        <v>2</v>
      </c>
      <c r="D79" s="2" t="s">
        <v>3</v>
      </c>
      <c r="E79" s="2" t="s">
        <v>4</v>
      </c>
      <c r="F79" s="2" t="s">
        <v>5</v>
      </c>
      <c r="G79" s="2"/>
      <c r="H79" s="2" t="s">
        <v>6</v>
      </c>
      <c r="I79" s="102" t="s">
        <v>7</v>
      </c>
      <c r="J79" s="29" t="s">
        <v>8</v>
      </c>
      <c r="K79" s="29" t="s">
        <v>9</v>
      </c>
      <c r="L79" s="27" t="s">
        <v>10</v>
      </c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>
      <c r="B80" s="33" t="s">
        <v>421</v>
      </c>
      <c r="C80" s="34" t="s">
        <v>422</v>
      </c>
      <c r="D80" s="33"/>
      <c r="E80" s="35" t="s">
        <v>54</v>
      </c>
      <c r="F80" s="35" t="s">
        <v>16</v>
      </c>
      <c r="G80" s="33"/>
      <c r="H80" s="33">
        <v>3.0</v>
      </c>
      <c r="I80" s="36" t="s">
        <v>350</v>
      </c>
      <c r="J80" s="36" t="s">
        <v>425</v>
      </c>
      <c r="K80" s="36" t="s">
        <v>589</v>
      </c>
      <c r="L80" s="21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>
      <c r="B81" s="33" t="s">
        <v>359</v>
      </c>
      <c r="C81" s="34" t="s">
        <v>360</v>
      </c>
      <c r="D81" s="33"/>
      <c r="E81" s="35" t="s">
        <v>15</v>
      </c>
      <c r="F81" s="35" t="s">
        <v>430</v>
      </c>
      <c r="G81" s="33"/>
      <c r="H81" s="33">
        <v>3.0</v>
      </c>
      <c r="I81" s="36" t="s">
        <v>350</v>
      </c>
      <c r="J81" s="81" t="s">
        <v>431</v>
      </c>
      <c r="K81" s="209" t="s">
        <v>594</v>
      </c>
      <c r="L81" s="21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>
      <c r="B82" s="33" t="s">
        <v>433</v>
      </c>
      <c r="C82" s="34" t="s">
        <v>434</v>
      </c>
      <c r="D82" s="33"/>
      <c r="E82" s="35" t="s">
        <v>15</v>
      </c>
      <c r="F82" s="35" t="s">
        <v>598</v>
      </c>
      <c r="G82" s="35"/>
      <c r="H82" s="33">
        <v>3.0</v>
      </c>
      <c r="I82" s="36" t="s">
        <v>350</v>
      </c>
      <c r="J82" s="36" t="s">
        <v>41</v>
      </c>
      <c r="K82" s="36" t="s">
        <v>601</v>
      </c>
      <c r="L82" s="36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>
      <c r="B83" s="33" t="s">
        <v>438</v>
      </c>
      <c r="C83" s="34" t="s">
        <v>439</v>
      </c>
      <c r="D83" s="33"/>
      <c r="E83" s="35" t="s">
        <v>71</v>
      </c>
      <c r="F83" s="33"/>
      <c r="G83" s="33"/>
      <c r="H83" s="33">
        <v>3.0</v>
      </c>
      <c r="I83" s="36" t="s">
        <v>350</v>
      </c>
      <c r="J83" s="90"/>
      <c r="K83" s="70"/>
      <c r="L83" s="21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>
      <c r="B84" s="33" t="s">
        <v>441</v>
      </c>
      <c r="C84" s="34" t="s">
        <v>442</v>
      </c>
      <c r="D84" s="35">
        <v>36428.0</v>
      </c>
      <c r="E84" s="35" t="s">
        <v>83</v>
      </c>
      <c r="F84" s="35" t="s">
        <v>16</v>
      </c>
      <c r="G84" s="35"/>
      <c r="H84" s="33">
        <v>3.0</v>
      </c>
      <c r="I84" s="36" t="s">
        <v>350</v>
      </c>
      <c r="J84" s="36" t="s">
        <v>20</v>
      </c>
      <c r="K84" s="215" t="s">
        <v>614</v>
      </c>
      <c r="L84" s="21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>
      <c r="B85" s="33" t="s">
        <v>446</v>
      </c>
      <c r="C85" s="34" t="s">
        <v>448</v>
      </c>
      <c r="D85" s="35">
        <v>36440.0</v>
      </c>
      <c r="E85" s="35" t="s">
        <v>54</v>
      </c>
      <c r="F85" s="35" t="s">
        <v>538</v>
      </c>
      <c r="G85" s="35"/>
      <c r="H85" s="33">
        <v>3.0</v>
      </c>
      <c r="I85" s="36" t="s">
        <v>350</v>
      </c>
      <c r="J85" s="36" t="s">
        <v>352</v>
      </c>
      <c r="K85" s="16" t="s">
        <v>620</v>
      </c>
      <c r="L85" s="21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>
      <c r="B86" s="33" t="s">
        <v>410</v>
      </c>
      <c r="C86" s="34" t="s">
        <v>453</v>
      </c>
      <c r="D86" s="33"/>
      <c r="E86" s="35" t="s">
        <v>83</v>
      </c>
      <c r="F86" s="35" t="s">
        <v>625</v>
      </c>
      <c r="G86" s="33"/>
      <c r="H86" s="33">
        <v>1.5</v>
      </c>
      <c r="I86" s="36" t="s">
        <v>350</v>
      </c>
      <c r="J86" s="36" t="s">
        <v>316</v>
      </c>
      <c r="K86" s="139" t="s">
        <v>627</v>
      </c>
      <c r="L86" s="21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>
      <c r="B87" s="33" t="s">
        <v>467</v>
      </c>
      <c r="C87" s="34" t="s">
        <v>469</v>
      </c>
      <c r="D87" s="33"/>
      <c r="E87" s="35" t="s">
        <v>15</v>
      </c>
      <c r="F87" s="35" t="s">
        <v>633</v>
      </c>
      <c r="G87" s="35"/>
      <c r="H87" s="33">
        <v>2.0</v>
      </c>
      <c r="I87" s="192" t="s">
        <v>111</v>
      </c>
      <c r="J87" s="36" t="s">
        <v>634</v>
      </c>
      <c r="K87" s="219" t="s">
        <v>635</v>
      </c>
      <c r="L87" s="21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>
      <c r="B88" s="33" t="s">
        <v>479</v>
      </c>
      <c r="C88" s="34" t="s">
        <v>480</v>
      </c>
      <c r="D88" s="33"/>
      <c r="E88" s="35" t="s">
        <v>24</v>
      </c>
      <c r="F88" s="35" t="s">
        <v>482</v>
      </c>
      <c r="G88" s="35"/>
      <c r="H88" s="33">
        <v>3.0</v>
      </c>
      <c r="I88" s="36" t="s">
        <v>350</v>
      </c>
      <c r="J88" s="36" t="s">
        <v>132</v>
      </c>
      <c r="K88" s="222" t="s">
        <v>641</v>
      </c>
      <c r="L88" s="21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>
      <c r="B89" s="33" t="s">
        <v>134</v>
      </c>
      <c r="C89" s="34" t="s">
        <v>135</v>
      </c>
      <c r="D89" s="33"/>
      <c r="E89" s="35" t="s">
        <v>71</v>
      </c>
      <c r="F89" s="35" t="s">
        <v>644</v>
      </c>
      <c r="G89" s="33"/>
      <c r="H89" s="33">
        <v>3.0</v>
      </c>
      <c r="I89" s="36" t="s">
        <v>350</v>
      </c>
      <c r="J89" s="136" t="s">
        <v>302</v>
      </c>
      <c r="K89" s="46" t="s">
        <v>646</v>
      </c>
      <c r="L89" s="21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>
      <c r="B90" s="86" t="s">
        <v>167</v>
      </c>
      <c r="C90" s="13"/>
      <c r="D90" s="13"/>
      <c r="E90" s="13"/>
      <c r="F90" s="18"/>
      <c r="G90" s="95"/>
      <c r="H90" s="88">
        <f>SUM(H80:H89)</f>
        <v>27.5</v>
      </c>
      <c r="I90" s="90"/>
      <c r="J90" s="90"/>
      <c r="K90" s="90"/>
      <c r="L90" s="21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>
      <c r="A91" s="5"/>
      <c r="B91" s="5"/>
      <c r="C91" s="5"/>
      <c r="D91" s="5"/>
      <c r="E91" s="5"/>
      <c r="F91" s="5"/>
      <c r="G91" s="5"/>
      <c r="H91" s="5"/>
      <c r="I91" s="92"/>
      <c r="J91" s="92"/>
      <c r="K91" s="92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>
      <c r="A92" s="5"/>
      <c r="B92" s="5"/>
      <c r="C92" s="5"/>
      <c r="D92" s="5"/>
      <c r="E92" s="5"/>
      <c r="F92" s="5"/>
      <c r="G92" s="5"/>
      <c r="H92" s="5"/>
      <c r="I92" s="92"/>
      <c r="J92" s="92"/>
      <c r="K92" s="92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>
      <c r="A93" s="100" t="s">
        <v>659</v>
      </c>
      <c r="B93" s="17" t="s">
        <v>659</v>
      </c>
      <c r="C93" s="13"/>
      <c r="D93" s="13"/>
      <c r="E93" s="13"/>
      <c r="F93" s="13"/>
      <c r="G93" s="13"/>
      <c r="H93" s="13"/>
      <c r="I93" s="13"/>
      <c r="J93" s="13"/>
      <c r="K93" s="13"/>
      <c r="L93" s="18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>
      <c r="B94" s="2" t="s">
        <v>1</v>
      </c>
      <c r="C94" s="2" t="s">
        <v>2</v>
      </c>
      <c r="D94" s="2" t="s">
        <v>3</v>
      </c>
      <c r="E94" s="2" t="s">
        <v>4</v>
      </c>
      <c r="F94" s="2" t="s">
        <v>5</v>
      </c>
      <c r="G94" s="2"/>
      <c r="H94" s="2" t="s">
        <v>6</v>
      </c>
      <c r="I94" s="102" t="s">
        <v>7</v>
      </c>
      <c r="J94" s="29" t="s">
        <v>8</v>
      </c>
      <c r="K94" s="29" t="s">
        <v>9</v>
      </c>
      <c r="L94" s="27" t="s">
        <v>10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>
      <c r="B95" s="165" t="s">
        <v>667</v>
      </c>
      <c r="C95" s="166" t="s">
        <v>668</v>
      </c>
      <c r="D95" s="167"/>
      <c r="E95" s="167" t="s">
        <v>670</v>
      </c>
      <c r="F95" s="165"/>
      <c r="G95" s="165"/>
      <c r="H95" s="33">
        <v>3.0</v>
      </c>
      <c r="I95" s="36" t="s">
        <v>242</v>
      </c>
      <c r="J95" s="90"/>
      <c r="K95" s="90"/>
      <c r="L95" s="21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>
      <c r="B96" s="165" t="s">
        <v>678</v>
      </c>
      <c r="C96" s="166" t="s">
        <v>679</v>
      </c>
      <c r="D96" s="167"/>
      <c r="E96" s="167" t="s">
        <v>54</v>
      </c>
      <c r="F96" s="35" t="s">
        <v>25</v>
      </c>
      <c r="G96" s="35"/>
      <c r="H96" s="33">
        <v>3.0</v>
      </c>
      <c r="I96" s="36" t="s">
        <v>58</v>
      </c>
      <c r="J96" s="25" t="s">
        <v>59</v>
      </c>
      <c r="K96" s="36" t="s">
        <v>680</v>
      </c>
      <c r="L96" s="21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>
      <c r="B97" s="165" t="s">
        <v>683</v>
      </c>
      <c r="C97" s="166" t="s">
        <v>684</v>
      </c>
      <c r="D97" s="167">
        <v>36454.0</v>
      </c>
      <c r="E97" s="167" t="s">
        <v>54</v>
      </c>
      <c r="F97" s="167" t="s">
        <v>685</v>
      </c>
      <c r="G97" s="167"/>
      <c r="H97" s="33">
        <v>3.0</v>
      </c>
      <c r="I97" s="36" t="s">
        <v>19</v>
      </c>
      <c r="J97" s="36" t="s">
        <v>687</v>
      </c>
      <c r="K97" s="90"/>
      <c r="L97" s="21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>
      <c r="B98" s="165" t="s">
        <v>689</v>
      </c>
      <c r="C98" s="166" t="s">
        <v>690</v>
      </c>
      <c r="D98" s="167"/>
      <c r="E98" s="167" t="s">
        <v>54</v>
      </c>
      <c r="F98" s="167" t="s">
        <v>692</v>
      </c>
      <c r="G98" s="165"/>
      <c r="H98" s="33">
        <v>3.0</v>
      </c>
      <c r="I98" s="36" t="s">
        <v>232</v>
      </c>
      <c r="J98" s="36" t="s">
        <v>233</v>
      </c>
      <c r="K98" s="36" t="s">
        <v>693</v>
      </c>
      <c r="L98" s="21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>
      <c r="B99" s="165" t="s">
        <v>697</v>
      </c>
      <c r="C99" s="166" t="s">
        <v>700</v>
      </c>
      <c r="D99" s="167"/>
      <c r="E99" s="167" t="s">
        <v>24</v>
      </c>
      <c r="F99" s="167" t="s">
        <v>16</v>
      </c>
      <c r="G99" s="165"/>
      <c r="H99" s="33">
        <v>3.0</v>
      </c>
      <c r="I99" s="36" t="s">
        <v>281</v>
      </c>
      <c r="J99" s="36" t="s">
        <v>425</v>
      </c>
      <c r="K99" s="36" t="s">
        <v>701</v>
      </c>
      <c r="L99" s="21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>
      <c r="B100" s="165" t="s">
        <v>705</v>
      </c>
      <c r="C100" s="166" t="s">
        <v>706</v>
      </c>
      <c r="D100" s="167"/>
      <c r="E100" s="167" t="s">
        <v>54</v>
      </c>
      <c r="F100" s="167" t="s">
        <v>707</v>
      </c>
      <c r="G100" s="167"/>
      <c r="H100" s="33">
        <v>3.0</v>
      </c>
      <c r="I100" s="36" t="s">
        <v>19</v>
      </c>
      <c r="J100" s="36" t="s">
        <v>565</v>
      </c>
      <c r="K100" s="36" t="s">
        <v>709</v>
      </c>
      <c r="L100" s="21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>
      <c r="B101" s="165" t="s">
        <v>615</v>
      </c>
      <c r="C101" s="166" t="s">
        <v>616</v>
      </c>
      <c r="D101" s="167"/>
      <c r="E101" s="167" t="s">
        <v>15</v>
      </c>
      <c r="F101" s="167" t="s">
        <v>712</v>
      </c>
      <c r="G101" s="165"/>
      <c r="H101" s="33">
        <v>1.5</v>
      </c>
      <c r="I101" s="36" t="s">
        <v>242</v>
      </c>
      <c r="J101" s="36" t="s">
        <v>152</v>
      </c>
      <c r="K101" s="36" t="s">
        <v>713</v>
      </c>
      <c r="L101" s="21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>
      <c r="B102" s="165" t="s">
        <v>718</v>
      </c>
      <c r="C102" s="166" t="s">
        <v>719</v>
      </c>
      <c r="D102" s="167"/>
      <c r="E102" s="167" t="s">
        <v>31</v>
      </c>
      <c r="F102" s="165"/>
      <c r="G102" s="165"/>
      <c r="H102" s="33">
        <v>3.0</v>
      </c>
      <c r="I102" s="36" t="s">
        <v>281</v>
      </c>
      <c r="J102" s="90"/>
      <c r="K102" s="90"/>
      <c r="L102" s="21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>
      <c r="B103" s="183" t="s">
        <v>167</v>
      </c>
      <c r="C103" s="13"/>
      <c r="D103" s="13"/>
      <c r="E103" s="13"/>
      <c r="F103" s="18"/>
      <c r="G103" s="184"/>
      <c r="H103" s="88">
        <f>SUM(H95:H102)</f>
        <v>22.5</v>
      </c>
      <c r="I103" s="90"/>
      <c r="J103" s="90"/>
      <c r="K103" s="90"/>
      <c r="L103" s="21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>
      <c r="A104" s="5"/>
      <c r="B104" s="5"/>
      <c r="C104" s="5"/>
      <c r="D104" s="5"/>
      <c r="E104" s="5"/>
      <c r="F104" s="5"/>
      <c r="G104" s="5"/>
      <c r="H104" s="5"/>
      <c r="I104" s="92"/>
      <c r="J104" s="92"/>
      <c r="K104" s="92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>
      <c r="A105" s="5"/>
      <c r="B105" s="5"/>
      <c r="C105" s="5"/>
      <c r="D105" s="5"/>
      <c r="E105" s="5"/>
      <c r="F105" s="5"/>
      <c r="G105" s="5"/>
      <c r="H105" s="5"/>
      <c r="I105" s="92"/>
      <c r="J105" s="92"/>
      <c r="K105" s="92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>
      <c r="A106" s="100" t="s">
        <v>723</v>
      </c>
      <c r="B106" s="17" t="s">
        <v>723</v>
      </c>
      <c r="C106" s="13"/>
      <c r="D106" s="13"/>
      <c r="E106" s="13"/>
      <c r="F106" s="13"/>
      <c r="G106" s="13"/>
      <c r="H106" s="13"/>
      <c r="I106" s="13"/>
      <c r="J106" s="13"/>
      <c r="K106" s="13"/>
      <c r="L106" s="18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>
      <c r="B107" s="2" t="s">
        <v>1</v>
      </c>
      <c r="C107" s="2" t="s">
        <v>2</v>
      </c>
      <c r="D107" s="2" t="s">
        <v>3</v>
      </c>
      <c r="E107" s="2" t="s">
        <v>4</v>
      </c>
      <c r="F107" s="2" t="s">
        <v>5</v>
      </c>
      <c r="G107" s="2"/>
      <c r="H107" s="2" t="s">
        <v>6</v>
      </c>
      <c r="I107" s="102" t="s">
        <v>7</v>
      </c>
      <c r="J107" s="29" t="s">
        <v>8</v>
      </c>
      <c r="K107" s="29" t="s">
        <v>9</v>
      </c>
      <c r="L107" s="27" t="s">
        <v>10</v>
      </c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>
      <c r="B108" s="33" t="s">
        <v>667</v>
      </c>
      <c r="C108" s="34" t="s">
        <v>668</v>
      </c>
      <c r="D108" s="33"/>
      <c r="E108" s="35" t="s">
        <v>24</v>
      </c>
      <c r="F108" s="33"/>
      <c r="G108" s="33"/>
      <c r="H108" s="33">
        <v>3.0</v>
      </c>
      <c r="I108" s="36" t="s">
        <v>258</v>
      </c>
      <c r="J108" s="90"/>
      <c r="K108" s="90"/>
      <c r="L108" s="21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>
      <c r="B109" s="33" t="s">
        <v>678</v>
      </c>
      <c r="C109" s="34" t="s">
        <v>679</v>
      </c>
      <c r="D109" s="33"/>
      <c r="E109" s="35" t="s">
        <v>54</v>
      </c>
      <c r="F109" s="35" t="s">
        <v>25</v>
      </c>
      <c r="G109" s="35"/>
      <c r="H109" s="33">
        <v>3.0</v>
      </c>
      <c r="I109" s="36" t="s">
        <v>258</v>
      </c>
      <c r="J109" s="36" t="s">
        <v>26</v>
      </c>
      <c r="K109" s="36" t="s">
        <v>735</v>
      </c>
      <c r="L109" s="21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>
      <c r="B110" s="33" t="s">
        <v>683</v>
      </c>
      <c r="C110" s="34" t="s">
        <v>684</v>
      </c>
      <c r="D110" s="35">
        <v>36472.0</v>
      </c>
      <c r="E110" s="35" t="s">
        <v>54</v>
      </c>
      <c r="F110" s="35" t="s">
        <v>740</v>
      </c>
      <c r="G110" s="35"/>
      <c r="H110" s="33">
        <v>3.0</v>
      </c>
      <c r="I110" s="36" t="s">
        <v>258</v>
      </c>
      <c r="J110" s="36" t="s">
        <v>687</v>
      </c>
      <c r="K110" s="90"/>
      <c r="L110" s="21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>
      <c r="B111" s="33" t="s">
        <v>689</v>
      </c>
      <c r="C111" s="34" t="s">
        <v>690</v>
      </c>
      <c r="D111" s="33"/>
      <c r="E111" s="35" t="s">
        <v>24</v>
      </c>
      <c r="F111" s="35" t="s">
        <v>342</v>
      </c>
      <c r="G111" s="33"/>
      <c r="H111" s="33">
        <v>3.0</v>
      </c>
      <c r="I111" s="36" t="s">
        <v>232</v>
      </c>
      <c r="J111" s="36" t="s">
        <v>233</v>
      </c>
      <c r="K111" s="36" t="s">
        <v>749</v>
      </c>
      <c r="L111" s="21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>
      <c r="B112" s="33" t="s">
        <v>697</v>
      </c>
      <c r="C112" s="34" t="s">
        <v>700</v>
      </c>
      <c r="D112" s="33"/>
      <c r="E112" s="35" t="s">
        <v>54</v>
      </c>
      <c r="F112" s="35" t="s">
        <v>707</v>
      </c>
      <c r="G112" s="33"/>
      <c r="H112" s="33">
        <v>3.0</v>
      </c>
      <c r="I112" s="36" t="s">
        <v>258</v>
      </c>
      <c r="J112" s="36" t="s">
        <v>425</v>
      </c>
      <c r="K112" s="36" t="s">
        <v>752</v>
      </c>
      <c r="L112" s="21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>
      <c r="B113" s="33" t="s">
        <v>705</v>
      </c>
      <c r="C113" s="34" t="s">
        <v>706</v>
      </c>
      <c r="D113" s="33"/>
      <c r="E113" s="35" t="s">
        <v>15</v>
      </c>
      <c r="F113" s="35" t="s">
        <v>707</v>
      </c>
      <c r="G113" s="35"/>
      <c r="H113" s="33">
        <v>3.0</v>
      </c>
      <c r="I113" s="36" t="s">
        <v>258</v>
      </c>
      <c r="J113" s="36" t="s">
        <v>565</v>
      </c>
      <c r="K113" s="35" t="s">
        <v>755</v>
      </c>
      <c r="L113" s="21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>
      <c r="B114" s="33" t="s">
        <v>615</v>
      </c>
      <c r="C114" s="34" t="s">
        <v>616</v>
      </c>
      <c r="D114" s="33"/>
      <c r="E114" s="35" t="s">
        <v>24</v>
      </c>
      <c r="F114" s="35" t="s">
        <v>625</v>
      </c>
      <c r="G114" s="249"/>
      <c r="H114" s="33">
        <v>1.5</v>
      </c>
      <c r="I114" s="36" t="s">
        <v>258</v>
      </c>
      <c r="J114" s="36" t="s">
        <v>316</v>
      </c>
      <c r="K114" s="250" t="s">
        <v>760</v>
      </c>
      <c r="L114" s="21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>
      <c r="B115" s="33" t="s">
        <v>718</v>
      </c>
      <c r="C115" s="34" t="s">
        <v>719</v>
      </c>
      <c r="D115" s="33"/>
      <c r="E115" s="35" t="s">
        <v>31</v>
      </c>
      <c r="F115" s="33"/>
      <c r="G115" s="33"/>
      <c r="H115" s="33">
        <v>3.0</v>
      </c>
      <c r="I115" s="36" t="s">
        <v>258</v>
      </c>
      <c r="J115" s="90"/>
      <c r="K115" s="90"/>
      <c r="L115" s="21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>
      <c r="B116" s="86" t="s">
        <v>167</v>
      </c>
      <c r="C116" s="13"/>
      <c r="D116" s="13"/>
      <c r="E116" s="13"/>
      <c r="F116" s="18"/>
      <c r="G116" s="95"/>
      <c r="H116" s="88">
        <f>SUM(H108:H115)</f>
        <v>22.5</v>
      </c>
      <c r="I116" s="90"/>
      <c r="J116" s="90"/>
      <c r="K116" s="90"/>
      <c r="L116" s="21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>
      <c r="A117" s="5"/>
      <c r="B117" s="5"/>
      <c r="C117" s="5"/>
      <c r="D117" s="5"/>
      <c r="E117" s="5"/>
      <c r="F117" s="5"/>
      <c r="G117" s="5"/>
      <c r="H117" s="5"/>
      <c r="I117" s="92"/>
      <c r="J117" s="92"/>
      <c r="K117" s="92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>
      <c r="A118" s="5"/>
      <c r="B118" s="5"/>
      <c r="C118" s="5"/>
      <c r="D118" s="5"/>
      <c r="E118" s="5"/>
      <c r="F118" s="5"/>
      <c r="G118" s="5"/>
      <c r="H118" s="5"/>
      <c r="I118" s="92"/>
      <c r="J118" s="92"/>
      <c r="K118" s="92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>
      <c r="A119" s="227" t="s">
        <v>771</v>
      </c>
      <c r="B119" s="104" t="s">
        <v>771</v>
      </c>
      <c r="C119" s="13"/>
      <c r="D119" s="13"/>
      <c r="E119" s="13"/>
      <c r="F119" s="13"/>
      <c r="G119" s="13"/>
      <c r="H119" s="13"/>
      <c r="I119" s="13"/>
      <c r="J119" s="13"/>
      <c r="K119" s="13"/>
      <c r="L119" s="18"/>
      <c r="M119" s="253"/>
      <c r="N119" s="253"/>
      <c r="O119" s="253"/>
      <c r="P119" s="253"/>
      <c r="Q119" s="253"/>
      <c r="R119" s="253"/>
      <c r="S119" s="253"/>
      <c r="T119" s="253"/>
      <c r="U119" s="253"/>
      <c r="V119" s="253"/>
      <c r="W119" s="253"/>
      <c r="X119" s="253"/>
      <c r="Y119" s="253"/>
      <c r="Z119" s="253"/>
      <c r="AA119" s="253"/>
      <c r="AB119" s="253"/>
    </row>
    <row r="120">
      <c r="B120" s="2" t="s">
        <v>1</v>
      </c>
      <c r="C120" s="2" t="s">
        <v>2</v>
      </c>
      <c r="D120" s="2" t="s">
        <v>3</v>
      </c>
      <c r="E120" s="2" t="s">
        <v>4</v>
      </c>
      <c r="F120" s="2" t="s">
        <v>5</v>
      </c>
      <c r="G120" s="2"/>
      <c r="H120" s="2" t="s">
        <v>6</v>
      </c>
      <c r="I120" s="102" t="s">
        <v>7</v>
      </c>
      <c r="J120" s="29" t="s">
        <v>8</v>
      </c>
      <c r="K120" s="29" t="s">
        <v>9</v>
      </c>
      <c r="L120" s="27" t="s">
        <v>10</v>
      </c>
      <c r="M120" s="253"/>
      <c r="N120" s="253"/>
      <c r="O120" s="253"/>
      <c r="P120" s="253"/>
      <c r="Q120" s="253"/>
      <c r="R120" s="253"/>
      <c r="S120" s="253"/>
      <c r="T120" s="253"/>
      <c r="U120" s="253"/>
      <c r="V120" s="253"/>
      <c r="W120" s="253"/>
      <c r="X120" s="253"/>
      <c r="Y120" s="253"/>
      <c r="Z120" s="253"/>
      <c r="AA120" s="253"/>
      <c r="AB120" s="253"/>
    </row>
    <row r="121">
      <c r="B121" s="33" t="s">
        <v>667</v>
      </c>
      <c r="C121" s="34" t="s">
        <v>668</v>
      </c>
      <c r="D121" s="33"/>
      <c r="E121" s="35" t="s">
        <v>15</v>
      </c>
      <c r="F121" s="33"/>
      <c r="G121" s="33"/>
      <c r="H121" s="33">
        <v>3.0</v>
      </c>
      <c r="I121" s="36" t="s">
        <v>239</v>
      </c>
      <c r="J121" s="90"/>
      <c r="K121" s="90"/>
      <c r="L121" s="21"/>
      <c r="M121" s="253"/>
      <c r="N121" s="253"/>
      <c r="O121" s="253"/>
      <c r="P121" s="253"/>
      <c r="Q121" s="253"/>
      <c r="R121" s="253"/>
      <c r="S121" s="253"/>
      <c r="T121" s="253"/>
      <c r="U121" s="253"/>
      <c r="V121" s="253"/>
      <c r="W121" s="253"/>
      <c r="X121" s="253"/>
      <c r="Y121" s="253"/>
      <c r="Z121" s="253"/>
      <c r="AA121" s="253"/>
      <c r="AB121" s="253"/>
    </row>
    <row r="122">
      <c r="B122" s="33" t="s">
        <v>678</v>
      </c>
      <c r="C122" s="34" t="s">
        <v>679</v>
      </c>
      <c r="D122" s="35">
        <v>36478.0</v>
      </c>
      <c r="E122" s="35" t="s">
        <v>54</v>
      </c>
      <c r="F122" s="35" t="s">
        <v>345</v>
      </c>
      <c r="G122" s="35"/>
      <c r="H122" s="33">
        <v>3.0</v>
      </c>
      <c r="I122" s="36" t="s">
        <v>239</v>
      </c>
      <c r="J122" s="36" t="s">
        <v>778</v>
      </c>
      <c r="K122" s="36" t="s">
        <v>779</v>
      </c>
      <c r="L122" s="21"/>
      <c r="M122" s="253"/>
      <c r="N122" s="253"/>
      <c r="O122" s="253"/>
      <c r="P122" s="253"/>
      <c r="Q122" s="253"/>
      <c r="R122" s="253"/>
      <c r="S122" s="253"/>
      <c r="T122" s="253"/>
      <c r="U122" s="253"/>
      <c r="V122" s="253"/>
      <c r="W122" s="253"/>
      <c r="X122" s="253"/>
      <c r="Y122" s="253"/>
      <c r="Z122" s="253"/>
      <c r="AA122" s="253"/>
      <c r="AB122" s="253"/>
    </row>
    <row r="123">
      <c r="B123" s="33" t="s">
        <v>683</v>
      </c>
      <c r="C123" s="34" t="s">
        <v>684</v>
      </c>
      <c r="D123" s="35">
        <v>36493.0</v>
      </c>
      <c r="E123" s="35" t="s">
        <v>54</v>
      </c>
      <c r="F123" s="35" t="s">
        <v>780</v>
      </c>
      <c r="G123" s="35"/>
      <c r="H123" s="33">
        <v>3.0</v>
      </c>
      <c r="I123" s="36" t="s">
        <v>239</v>
      </c>
      <c r="J123" s="36" t="s">
        <v>687</v>
      </c>
      <c r="K123" s="90"/>
      <c r="L123" s="21"/>
      <c r="M123" s="253"/>
      <c r="N123" s="253"/>
      <c r="O123" s="253"/>
      <c r="P123" s="253"/>
      <c r="Q123" s="253"/>
      <c r="R123" s="253"/>
      <c r="S123" s="253"/>
      <c r="T123" s="253"/>
      <c r="U123" s="253"/>
      <c r="V123" s="253"/>
      <c r="W123" s="253"/>
      <c r="X123" s="253"/>
      <c r="Y123" s="253"/>
      <c r="Z123" s="253"/>
      <c r="AA123" s="253"/>
      <c r="AB123" s="253"/>
    </row>
    <row r="124">
      <c r="B124" s="33" t="s">
        <v>689</v>
      </c>
      <c r="C124" s="34" t="s">
        <v>690</v>
      </c>
      <c r="D124" s="33"/>
      <c r="E124" s="35" t="s">
        <v>54</v>
      </c>
      <c r="F124" s="35" t="s">
        <v>783</v>
      </c>
      <c r="G124" s="33"/>
      <c r="H124" s="33">
        <v>3.0</v>
      </c>
      <c r="I124" s="36" t="s">
        <v>232</v>
      </c>
      <c r="J124" s="36" t="s">
        <v>233</v>
      </c>
      <c r="K124" s="36" t="s">
        <v>785</v>
      </c>
      <c r="L124" s="21"/>
      <c r="M124" s="253"/>
      <c r="N124" s="253"/>
      <c r="O124" s="253"/>
      <c r="P124" s="253"/>
      <c r="Q124" s="253"/>
      <c r="R124" s="253"/>
      <c r="S124" s="253"/>
      <c r="T124" s="253"/>
      <c r="U124" s="253"/>
      <c r="V124" s="253"/>
      <c r="W124" s="253"/>
      <c r="X124" s="253"/>
      <c r="Y124" s="253"/>
      <c r="Z124" s="253"/>
      <c r="AA124" s="253"/>
      <c r="AB124" s="253"/>
    </row>
    <row r="125">
      <c r="B125" s="33" t="s">
        <v>697</v>
      </c>
      <c r="C125" s="34" t="s">
        <v>700</v>
      </c>
      <c r="D125" s="33"/>
      <c r="E125" s="35" t="s">
        <v>24</v>
      </c>
      <c r="F125" s="35" t="s">
        <v>707</v>
      </c>
      <c r="G125" s="33"/>
      <c r="H125" s="33">
        <v>3.0</v>
      </c>
      <c r="I125" s="36" t="s">
        <v>239</v>
      </c>
      <c r="J125" s="36" t="s">
        <v>425</v>
      </c>
      <c r="K125" s="36" t="s">
        <v>791</v>
      </c>
      <c r="L125" s="21"/>
      <c r="M125" s="253"/>
      <c r="N125" s="253"/>
      <c r="O125" s="253"/>
      <c r="P125" s="253"/>
      <c r="Q125" s="253"/>
      <c r="R125" s="253"/>
      <c r="S125" s="253"/>
      <c r="T125" s="253"/>
      <c r="U125" s="253"/>
      <c r="V125" s="253"/>
      <c r="W125" s="253"/>
      <c r="X125" s="253"/>
      <c r="Y125" s="253"/>
      <c r="Z125" s="253"/>
      <c r="AA125" s="253"/>
      <c r="AB125" s="253"/>
    </row>
    <row r="126">
      <c r="B126" s="33" t="s">
        <v>705</v>
      </c>
      <c r="C126" s="34" t="s">
        <v>706</v>
      </c>
      <c r="D126" s="35">
        <v>36484.0</v>
      </c>
      <c r="E126" s="35" t="s">
        <v>24</v>
      </c>
      <c r="F126" s="35" t="s">
        <v>16</v>
      </c>
      <c r="G126" s="35"/>
      <c r="H126" s="33">
        <v>3.0</v>
      </c>
      <c r="I126" s="36" t="s">
        <v>239</v>
      </c>
      <c r="J126" s="36" t="s">
        <v>20</v>
      </c>
      <c r="K126" s="36" t="s">
        <v>801</v>
      </c>
      <c r="L126" s="21"/>
      <c r="M126" s="253"/>
      <c r="N126" s="253"/>
      <c r="O126" s="253"/>
      <c r="P126" s="253"/>
      <c r="Q126" s="253"/>
      <c r="R126" s="253"/>
      <c r="S126" s="253"/>
      <c r="T126" s="253"/>
      <c r="U126" s="253"/>
      <c r="V126" s="253"/>
      <c r="W126" s="253"/>
      <c r="X126" s="253"/>
      <c r="Y126" s="253"/>
      <c r="Z126" s="253"/>
      <c r="AA126" s="253"/>
      <c r="AB126" s="253"/>
    </row>
    <row r="127">
      <c r="B127" s="33" t="s">
        <v>615</v>
      </c>
      <c r="C127" s="34" t="s">
        <v>616</v>
      </c>
      <c r="D127" s="33"/>
      <c r="E127" s="35" t="s">
        <v>54</v>
      </c>
      <c r="F127" s="35" t="s">
        <v>808</v>
      </c>
      <c r="G127" s="33"/>
      <c r="H127" s="33">
        <v>1.5</v>
      </c>
      <c r="I127" s="36" t="s">
        <v>239</v>
      </c>
      <c r="J127" s="36" t="s">
        <v>152</v>
      </c>
      <c r="K127" s="250" t="s">
        <v>809</v>
      </c>
      <c r="L127" s="21"/>
      <c r="M127" s="253"/>
      <c r="N127" s="253"/>
      <c r="O127" s="253"/>
      <c r="P127" s="253"/>
      <c r="Q127" s="253"/>
      <c r="R127" s="253"/>
      <c r="S127" s="253"/>
      <c r="T127" s="253"/>
      <c r="U127" s="253"/>
      <c r="V127" s="253"/>
      <c r="W127" s="253"/>
      <c r="X127" s="253"/>
      <c r="Y127" s="253"/>
      <c r="Z127" s="253"/>
      <c r="AA127" s="253"/>
      <c r="AB127" s="253"/>
    </row>
    <row r="128">
      <c r="B128" s="33" t="s">
        <v>718</v>
      </c>
      <c r="C128" s="34" t="s">
        <v>719</v>
      </c>
      <c r="D128" s="35"/>
      <c r="E128" s="35" t="s">
        <v>83</v>
      </c>
      <c r="F128" s="33"/>
      <c r="G128" s="33"/>
      <c r="H128" s="33">
        <v>3.0</v>
      </c>
      <c r="I128" s="36" t="s">
        <v>239</v>
      </c>
      <c r="J128" s="90"/>
      <c r="K128" s="90"/>
      <c r="L128" s="21"/>
      <c r="M128" s="253"/>
      <c r="N128" s="253"/>
      <c r="O128" s="253"/>
      <c r="P128" s="253"/>
      <c r="Q128" s="253"/>
      <c r="R128" s="253"/>
      <c r="S128" s="253"/>
      <c r="T128" s="253"/>
      <c r="U128" s="253"/>
      <c r="V128" s="253"/>
      <c r="W128" s="253"/>
      <c r="X128" s="253"/>
      <c r="Y128" s="253"/>
      <c r="Z128" s="253"/>
      <c r="AA128" s="253"/>
      <c r="AB128" s="253"/>
    </row>
    <row r="129">
      <c r="B129" s="86" t="s">
        <v>167</v>
      </c>
      <c r="C129" s="13"/>
      <c r="D129" s="13"/>
      <c r="E129" s="13"/>
      <c r="F129" s="18"/>
      <c r="G129" s="95"/>
      <c r="H129" s="88">
        <f>SUM(H121:H128)</f>
        <v>22.5</v>
      </c>
      <c r="I129" s="90"/>
      <c r="J129" s="90"/>
      <c r="K129" s="90"/>
      <c r="L129" s="21"/>
      <c r="M129" s="253"/>
      <c r="N129" s="253"/>
      <c r="O129" s="253"/>
      <c r="P129" s="253"/>
      <c r="Q129" s="253"/>
      <c r="R129" s="253"/>
      <c r="S129" s="253"/>
      <c r="T129" s="253"/>
      <c r="U129" s="253"/>
      <c r="V129" s="253"/>
      <c r="W129" s="253"/>
      <c r="X129" s="253"/>
      <c r="Y129" s="253"/>
      <c r="Z129" s="253"/>
      <c r="AA129" s="253"/>
      <c r="AB129" s="253"/>
    </row>
    <row r="130">
      <c r="A130" s="265"/>
      <c r="B130" s="266"/>
      <c r="C130" s="266"/>
      <c r="D130" s="266"/>
      <c r="E130" s="266"/>
      <c r="F130" s="266"/>
      <c r="G130" s="266"/>
      <c r="H130" s="266"/>
      <c r="I130" s="266"/>
      <c r="J130" s="266"/>
      <c r="K130" s="266"/>
      <c r="L130" s="266"/>
      <c r="M130" s="253"/>
      <c r="N130" s="253"/>
      <c r="O130" s="253"/>
      <c r="P130" s="253"/>
      <c r="Q130" s="253"/>
      <c r="R130" s="253"/>
      <c r="S130" s="253"/>
      <c r="T130" s="253"/>
      <c r="U130" s="253"/>
      <c r="V130" s="253"/>
      <c r="W130" s="253"/>
      <c r="X130" s="253"/>
      <c r="Y130" s="253"/>
      <c r="Z130" s="253"/>
      <c r="AA130" s="253"/>
      <c r="AB130" s="253"/>
    </row>
    <row r="131">
      <c r="A131" s="265"/>
      <c r="B131" s="266"/>
      <c r="C131" s="266"/>
      <c r="D131" s="266"/>
      <c r="E131" s="266"/>
      <c r="F131" s="266"/>
      <c r="G131" s="266"/>
      <c r="H131" s="266"/>
      <c r="I131" s="266"/>
      <c r="J131" s="266"/>
      <c r="K131" s="266"/>
      <c r="L131" s="266"/>
      <c r="M131" s="253"/>
      <c r="N131" s="253"/>
      <c r="O131" s="253"/>
      <c r="P131" s="253"/>
      <c r="Q131" s="253"/>
      <c r="R131" s="253"/>
      <c r="S131" s="253"/>
      <c r="T131" s="253"/>
      <c r="U131" s="253"/>
      <c r="V131" s="253"/>
      <c r="W131" s="253"/>
      <c r="X131" s="253"/>
      <c r="Y131" s="253"/>
      <c r="Z131" s="253"/>
      <c r="AA131" s="253"/>
      <c r="AB131" s="253"/>
    </row>
    <row r="132">
      <c r="A132" s="100" t="s">
        <v>814</v>
      </c>
      <c r="B132" s="17" t="s">
        <v>814</v>
      </c>
      <c r="C132" s="13"/>
      <c r="D132" s="13"/>
      <c r="E132" s="13"/>
      <c r="F132" s="13"/>
      <c r="G132" s="13"/>
      <c r="H132" s="13"/>
      <c r="I132" s="13"/>
      <c r="J132" s="13"/>
      <c r="K132" s="13"/>
      <c r="L132" s="18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>
      <c r="B133" s="268" t="s">
        <v>1</v>
      </c>
      <c r="C133" s="268" t="s">
        <v>2</v>
      </c>
      <c r="D133" s="2" t="s">
        <v>3</v>
      </c>
      <c r="E133" s="2" t="s">
        <v>4</v>
      </c>
      <c r="F133" s="2" t="s">
        <v>5</v>
      </c>
      <c r="G133" s="2"/>
      <c r="H133" s="2" t="s">
        <v>6</v>
      </c>
      <c r="I133" s="102" t="s">
        <v>7</v>
      </c>
      <c r="J133" s="29" t="s">
        <v>8</v>
      </c>
      <c r="K133" s="29" t="s">
        <v>9</v>
      </c>
      <c r="L133" s="27" t="s">
        <v>10</v>
      </c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>
      <c r="B134" s="165" t="s">
        <v>825</v>
      </c>
      <c r="C134" s="166" t="s">
        <v>826</v>
      </c>
      <c r="D134" s="90"/>
      <c r="E134" s="35" t="s">
        <v>31</v>
      </c>
      <c r="F134" s="33"/>
      <c r="G134" s="33"/>
      <c r="H134" s="33">
        <v>3.0</v>
      </c>
      <c r="I134" s="36" t="s">
        <v>239</v>
      </c>
      <c r="J134" s="90"/>
      <c r="K134" s="270"/>
      <c r="L134" s="21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>
      <c r="B135" s="165" t="s">
        <v>792</v>
      </c>
      <c r="C135" s="166" t="s">
        <v>793</v>
      </c>
      <c r="D135" s="36"/>
      <c r="E135" s="35" t="s">
        <v>15</v>
      </c>
      <c r="F135" s="35" t="s">
        <v>831</v>
      </c>
      <c r="G135" s="33"/>
      <c r="H135" s="33">
        <v>1.5</v>
      </c>
      <c r="I135" s="36" t="s">
        <v>239</v>
      </c>
      <c r="J135" s="36" t="s">
        <v>70</v>
      </c>
      <c r="K135" s="36" t="s">
        <v>832</v>
      </c>
      <c r="L135" s="21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>
      <c r="B136" s="165" t="s">
        <v>143</v>
      </c>
      <c r="C136" s="166" t="s">
        <v>144</v>
      </c>
      <c r="D136" s="36"/>
      <c r="E136" s="35" t="s">
        <v>83</v>
      </c>
      <c r="F136" s="35" t="s">
        <v>834</v>
      </c>
      <c r="G136" s="35"/>
      <c r="H136" s="33">
        <v>3.0</v>
      </c>
      <c r="I136" s="36" t="s">
        <v>148</v>
      </c>
      <c r="J136" s="36" t="s">
        <v>270</v>
      </c>
      <c r="K136" s="272" t="s">
        <v>836</v>
      </c>
      <c r="L136" s="21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>
      <c r="B137" s="165" t="s">
        <v>762</v>
      </c>
      <c r="C137" s="166" t="s">
        <v>764</v>
      </c>
      <c r="D137" s="36"/>
      <c r="E137" s="35" t="s">
        <v>31</v>
      </c>
      <c r="F137" s="35" t="s">
        <v>16</v>
      </c>
      <c r="G137" s="35"/>
      <c r="H137" s="33">
        <v>3.0</v>
      </c>
      <c r="I137" s="36" t="s">
        <v>239</v>
      </c>
      <c r="J137" s="36" t="s">
        <v>844</v>
      </c>
      <c r="K137" s="36" t="s">
        <v>846</v>
      </c>
      <c r="L137" s="21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>
      <c r="B138" s="165" t="s">
        <v>848</v>
      </c>
      <c r="C138" s="166" t="s">
        <v>850</v>
      </c>
      <c r="D138" s="35"/>
      <c r="E138" s="35" t="s">
        <v>83</v>
      </c>
      <c r="F138" s="33"/>
      <c r="G138" s="33"/>
      <c r="H138" s="33">
        <v>3.0</v>
      </c>
      <c r="I138" s="36" t="s">
        <v>574</v>
      </c>
      <c r="J138" s="36" t="s">
        <v>855</v>
      </c>
      <c r="K138" s="39" t="s">
        <v>857</v>
      </c>
      <c r="L138" s="21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>
      <c r="B139" s="165" t="s">
        <v>860</v>
      </c>
      <c r="C139" s="166" t="s">
        <v>861</v>
      </c>
      <c r="D139" s="35"/>
      <c r="E139" s="35" t="s">
        <v>15</v>
      </c>
      <c r="F139" s="33"/>
      <c r="G139" s="33"/>
      <c r="H139" s="33">
        <v>3.0</v>
      </c>
      <c r="I139" s="36" t="s">
        <v>239</v>
      </c>
      <c r="J139" s="36" t="s">
        <v>855</v>
      </c>
      <c r="K139" s="274" t="s">
        <v>864</v>
      </c>
      <c r="L139" s="21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>
      <c r="B140" s="165" t="s">
        <v>157</v>
      </c>
      <c r="C140" s="166" t="s">
        <v>158</v>
      </c>
      <c r="D140" s="35"/>
      <c r="E140" s="35" t="s">
        <v>867</v>
      </c>
      <c r="F140" s="35" t="s">
        <v>868</v>
      </c>
      <c r="G140" s="33"/>
      <c r="H140" s="33">
        <v>3.0</v>
      </c>
      <c r="I140" s="36" t="s">
        <v>239</v>
      </c>
      <c r="J140" s="36" t="s">
        <v>870</v>
      </c>
      <c r="K140" s="36" t="s">
        <v>871</v>
      </c>
      <c r="L140" s="21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>
      <c r="B141" s="86" t="s">
        <v>167</v>
      </c>
      <c r="C141" s="13"/>
      <c r="D141" s="13"/>
      <c r="E141" s="13"/>
      <c r="F141" s="18"/>
      <c r="G141" s="95"/>
      <c r="H141" s="88">
        <f>SUM(H134:H137)</f>
        <v>10.5</v>
      </c>
      <c r="I141" s="90"/>
      <c r="J141" s="90"/>
      <c r="K141" s="90"/>
      <c r="L141" s="21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>
      <c r="A142" s="5"/>
      <c r="B142" s="5"/>
      <c r="C142" s="5"/>
      <c r="D142" s="5"/>
      <c r="E142" s="5"/>
      <c r="F142" s="5"/>
      <c r="G142" s="5"/>
      <c r="H142" s="5"/>
      <c r="I142" s="92"/>
      <c r="J142" s="92"/>
      <c r="K142" s="92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>
      <c r="A143" s="5"/>
      <c r="B143" s="5"/>
      <c r="C143" s="5"/>
      <c r="D143" s="5"/>
      <c r="E143" s="5"/>
      <c r="F143" s="5"/>
      <c r="G143" s="5"/>
      <c r="H143" s="5"/>
      <c r="I143" s="92"/>
      <c r="J143" s="92"/>
      <c r="K143" s="92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>
      <c r="A144" s="6" t="s">
        <v>882</v>
      </c>
      <c r="B144" s="17" t="s">
        <v>882</v>
      </c>
      <c r="C144" s="13"/>
      <c r="D144" s="13"/>
      <c r="E144" s="13"/>
      <c r="F144" s="13"/>
      <c r="G144" s="13"/>
      <c r="H144" s="13"/>
      <c r="I144" s="13"/>
      <c r="J144" s="13"/>
      <c r="K144" s="13"/>
      <c r="L144" s="18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>
      <c r="A145" s="23"/>
      <c r="B145" s="2" t="s">
        <v>1</v>
      </c>
      <c r="C145" s="2" t="s">
        <v>2</v>
      </c>
      <c r="D145" s="2" t="s">
        <v>3</v>
      </c>
      <c r="E145" s="2" t="s">
        <v>4</v>
      </c>
      <c r="F145" s="2" t="s">
        <v>5</v>
      </c>
      <c r="G145" s="2"/>
      <c r="H145" s="2" t="s">
        <v>6</v>
      </c>
      <c r="I145" s="102" t="s">
        <v>7</v>
      </c>
      <c r="J145" s="29" t="s">
        <v>8</v>
      </c>
      <c r="K145" s="29" t="s">
        <v>9</v>
      </c>
      <c r="L145" s="27" t="s">
        <v>10</v>
      </c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>
      <c r="A146" s="23"/>
      <c r="B146" s="33" t="s">
        <v>825</v>
      </c>
      <c r="C146" s="34" t="s">
        <v>826</v>
      </c>
      <c r="D146" s="33"/>
      <c r="E146" s="35" t="s">
        <v>31</v>
      </c>
      <c r="F146" s="33"/>
      <c r="G146" s="33"/>
      <c r="H146" s="33">
        <v>3.0</v>
      </c>
      <c r="I146" s="36" t="s">
        <v>574</v>
      </c>
      <c r="J146" s="90"/>
      <c r="K146" s="251"/>
      <c r="L146" s="21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>
      <c r="A147" s="23"/>
      <c r="B147" s="33" t="s">
        <v>792</v>
      </c>
      <c r="C147" s="34" t="s">
        <v>793</v>
      </c>
      <c r="D147" s="33"/>
      <c r="E147" s="35" t="s">
        <v>24</v>
      </c>
      <c r="F147" s="35" t="s">
        <v>712</v>
      </c>
      <c r="G147" s="33"/>
      <c r="H147" s="33">
        <v>1.5</v>
      </c>
      <c r="I147" s="36" t="s">
        <v>574</v>
      </c>
      <c r="J147" s="36" t="s">
        <v>152</v>
      </c>
      <c r="K147" s="192" t="s">
        <v>904</v>
      </c>
      <c r="L147" s="21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>
      <c r="A148" s="23"/>
      <c r="B148" s="33" t="s">
        <v>143</v>
      </c>
      <c r="C148" s="34" t="s">
        <v>144</v>
      </c>
      <c r="D148" s="33"/>
      <c r="E148" s="35" t="s">
        <v>15</v>
      </c>
      <c r="F148" s="35" t="s">
        <v>911</v>
      </c>
      <c r="G148" s="33"/>
      <c r="H148" s="33">
        <v>3.0</v>
      </c>
      <c r="I148" s="36" t="s">
        <v>99</v>
      </c>
      <c r="J148" s="36" t="s">
        <v>423</v>
      </c>
      <c r="K148" s="283" t="s">
        <v>916</v>
      </c>
      <c r="L148" s="21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>
      <c r="A149" s="23"/>
      <c r="B149" s="33" t="s">
        <v>762</v>
      </c>
      <c r="C149" s="34" t="s">
        <v>764</v>
      </c>
      <c r="D149" s="33"/>
      <c r="E149" s="35" t="s">
        <v>15</v>
      </c>
      <c r="F149" s="35" t="s">
        <v>16</v>
      </c>
      <c r="G149" s="35"/>
      <c r="H149" s="33">
        <v>3.0</v>
      </c>
      <c r="I149" s="36" t="s">
        <v>574</v>
      </c>
      <c r="J149" s="36" t="s">
        <v>565</v>
      </c>
      <c r="K149" s="36" t="s">
        <v>922</v>
      </c>
      <c r="L149" s="21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>
      <c r="A150" s="23"/>
      <c r="B150" s="33" t="s">
        <v>848</v>
      </c>
      <c r="C150" s="34" t="s">
        <v>850</v>
      </c>
      <c r="D150" s="33"/>
      <c r="E150" s="35" t="s">
        <v>31</v>
      </c>
      <c r="F150" s="33"/>
      <c r="G150" s="33"/>
      <c r="H150" s="33">
        <v>3.0</v>
      </c>
      <c r="I150" s="36" t="s">
        <v>574</v>
      </c>
      <c r="J150" s="36" t="s">
        <v>855</v>
      </c>
      <c r="K150" s="39" t="s">
        <v>927</v>
      </c>
      <c r="L150" s="21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>
      <c r="A151" s="23"/>
      <c r="B151" s="33" t="s">
        <v>860</v>
      </c>
      <c r="C151" s="34" t="s">
        <v>861</v>
      </c>
      <c r="D151" s="33"/>
      <c r="E151" s="35" t="s">
        <v>24</v>
      </c>
      <c r="F151" s="33"/>
      <c r="G151" s="33"/>
      <c r="H151" s="33">
        <v>3.0</v>
      </c>
      <c r="I151" s="36" t="s">
        <v>574</v>
      </c>
      <c r="J151" s="36" t="s">
        <v>855</v>
      </c>
      <c r="K151" s="39" t="s">
        <v>933</v>
      </c>
      <c r="L151" s="21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>
      <c r="A152" s="23"/>
      <c r="B152" s="33" t="s">
        <v>157</v>
      </c>
      <c r="C152" s="34" t="s">
        <v>158</v>
      </c>
      <c r="D152" s="33"/>
      <c r="E152" s="35" t="s">
        <v>24</v>
      </c>
      <c r="F152" s="35" t="s">
        <v>44</v>
      </c>
      <c r="G152" s="33"/>
      <c r="H152" s="33">
        <v>3.0</v>
      </c>
      <c r="I152" s="36" t="s">
        <v>574</v>
      </c>
      <c r="J152" s="36" t="s">
        <v>936</v>
      </c>
      <c r="K152" s="164" t="s">
        <v>937</v>
      </c>
      <c r="L152" s="21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>
      <c r="A153" s="85"/>
      <c r="B153" s="86" t="s">
        <v>167</v>
      </c>
      <c r="C153" s="13"/>
      <c r="D153" s="13"/>
      <c r="E153" s="13"/>
      <c r="F153" s="18"/>
      <c r="G153" s="95"/>
      <c r="H153" s="88">
        <f>SUM(H146:H152)</f>
        <v>19.5</v>
      </c>
      <c r="I153" s="90"/>
      <c r="J153" s="90"/>
      <c r="K153" s="90"/>
      <c r="L153" s="21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>
      <c r="A154" s="5"/>
      <c r="B154" s="5"/>
      <c r="C154" s="5"/>
      <c r="D154" s="5"/>
      <c r="E154" s="5"/>
      <c r="F154" s="5"/>
      <c r="G154" s="5"/>
      <c r="H154" s="5"/>
      <c r="I154" s="92"/>
      <c r="J154" s="92"/>
      <c r="K154" s="92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>
      <c r="A155" s="5"/>
      <c r="B155" s="5"/>
      <c r="C155" s="5"/>
      <c r="D155" s="5"/>
      <c r="E155" s="5"/>
      <c r="F155" s="5"/>
      <c r="G155" s="5"/>
      <c r="H155" s="5"/>
      <c r="I155" s="92"/>
      <c r="J155" s="92"/>
      <c r="K155" s="92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>
      <c r="A156" s="5"/>
      <c r="B156" s="5"/>
      <c r="C156" s="5"/>
      <c r="D156" s="5"/>
      <c r="E156" s="5"/>
      <c r="F156" s="5"/>
      <c r="G156" s="5"/>
      <c r="H156" s="5"/>
      <c r="I156" s="92"/>
      <c r="J156" s="92"/>
      <c r="K156" s="92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>
      <c r="A157" s="5"/>
      <c r="B157" s="5"/>
      <c r="C157" s="5"/>
      <c r="D157" s="5"/>
      <c r="E157" s="5"/>
      <c r="F157" s="5"/>
      <c r="G157" s="5"/>
      <c r="H157" s="5"/>
      <c r="I157" s="92"/>
      <c r="J157" s="92"/>
      <c r="K157" s="92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>
      <c r="A158" s="5"/>
      <c r="B158" s="5"/>
      <c r="C158" s="5"/>
      <c r="D158" s="5"/>
      <c r="E158" s="5"/>
      <c r="F158" s="5"/>
      <c r="G158" s="5"/>
      <c r="H158" s="5"/>
      <c r="I158" s="92"/>
      <c r="J158" s="92"/>
      <c r="K158" s="92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>
      <c r="A159" s="5"/>
      <c r="B159" s="5"/>
      <c r="C159" s="5"/>
      <c r="D159" s="5"/>
      <c r="E159" s="5"/>
      <c r="F159" s="5"/>
      <c r="G159" s="5"/>
      <c r="H159" s="5"/>
      <c r="I159" s="92"/>
      <c r="J159" s="92"/>
      <c r="K159" s="92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>
      <c r="A160" s="5"/>
      <c r="B160" s="5"/>
      <c r="C160" s="5"/>
      <c r="D160" s="5"/>
      <c r="E160" s="5"/>
      <c r="F160" s="5"/>
      <c r="G160" s="5"/>
      <c r="H160" s="5"/>
      <c r="I160" s="92"/>
      <c r="J160" s="92"/>
      <c r="K160" s="92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>
      <c r="A161" s="5"/>
      <c r="B161" s="5"/>
      <c r="C161" s="5"/>
      <c r="D161" s="5"/>
      <c r="E161" s="5"/>
      <c r="F161" s="5"/>
      <c r="G161" s="5"/>
      <c r="H161" s="5"/>
      <c r="I161" s="92"/>
      <c r="J161" s="92"/>
      <c r="K161" s="92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>
      <c r="A162" s="5"/>
      <c r="B162" s="5"/>
      <c r="C162" s="5"/>
      <c r="D162" s="5"/>
      <c r="E162" s="5"/>
      <c r="F162" s="5"/>
      <c r="G162" s="5"/>
      <c r="H162" s="5"/>
      <c r="I162" s="92"/>
      <c r="J162" s="92"/>
      <c r="K162" s="92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>
      <c r="A163" s="5"/>
      <c r="B163" s="5"/>
      <c r="C163" s="5"/>
      <c r="D163" s="5"/>
      <c r="E163" s="5"/>
      <c r="F163" s="5"/>
      <c r="G163" s="5"/>
      <c r="H163" s="5"/>
      <c r="I163" s="92"/>
      <c r="J163" s="92"/>
      <c r="K163" s="92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>
      <c r="A164" s="5"/>
      <c r="B164" s="5"/>
      <c r="C164" s="5"/>
      <c r="D164" s="5"/>
      <c r="E164" s="5"/>
      <c r="F164" s="5"/>
      <c r="G164" s="5"/>
      <c r="H164" s="5"/>
      <c r="I164" s="92"/>
      <c r="J164" s="92"/>
      <c r="K164" s="92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>
      <c r="A165" s="5"/>
      <c r="B165" s="5"/>
      <c r="C165" s="5"/>
      <c r="D165" s="5"/>
      <c r="E165" s="5"/>
      <c r="F165" s="5"/>
      <c r="G165" s="5"/>
      <c r="H165" s="5"/>
      <c r="I165" s="92"/>
      <c r="J165" s="92"/>
      <c r="K165" s="92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>
      <c r="A166" s="5"/>
      <c r="B166" s="5"/>
      <c r="C166" s="5"/>
      <c r="D166" s="5"/>
      <c r="E166" s="5"/>
      <c r="F166" s="5"/>
      <c r="G166" s="5"/>
      <c r="H166" s="5"/>
      <c r="I166" s="92"/>
      <c r="J166" s="92"/>
      <c r="K166" s="92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>
      <c r="A167" s="5"/>
      <c r="B167" s="5"/>
      <c r="C167" s="5"/>
      <c r="D167" s="5"/>
      <c r="E167" s="5"/>
      <c r="F167" s="5"/>
      <c r="G167" s="5"/>
      <c r="H167" s="5"/>
      <c r="I167" s="92"/>
      <c r="J167" s="92"/>
      <c r="K167" s="92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>
      <c r="A168" s="5"/>
      <c r="B168" s="5"/>
      <c r="C168" s="5"/>
      <c r="D168" s="5"/>
      <c r="E168" s="5"/>
      <c r="F168" s="5"/>
      <c r="G168" s="5"/>
      <c r="H168" s="5"/>
      <c r="I168" s="92"/>
      <c r="J168" s="92"/>
      <c r="K168" s="92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>
      <c r="A169" s="5"/>
      <c r="B169" s="5"/>
      <c r="C169" s="5"/>
      <c r="D169" s="5"/>
      <c r="E169" s="5"/>
      <c r="F169" s="5"/>
      <c r="G169" s="5"/>
      <c r="H169" s="5"/>
      <c r="I169" s="92"/>
      <c r="J169" s="92"/>
      <c r="K169" s="92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>
      <c r="A170" s="5"/>
      <c r="B170" s="5"/>
      <c r="C170" s="5"/>
      <c r="D170" s="5"/>
      <c r="E170" s="5"/>
      <c r="F170" s="5"/>
      <c r="G170" s="5"/>
      <c r="H170" s="5"/>
      <c r="I170" s="92"/>
      <c r="J170" s="92"/>
      <c r="K170" s="92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>
      <c r="A171" s="5"/>
      <c r="B171" s="5"/>
      <c r="C171" s="5"/>
      <c r="D171" s="5"/>
      <c r="E171" s="5"/>
      <c r="F171" s="5"/>
      <c r="G171" s="5"/>
      <c r="H171" s="5"/>
      <c r="I171" s="92"/>
      <c r="J171" s="92"/>
      <c r="K171" s="92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>
      <c r="A172" s="5"/>
      <c r="B172" s="5"/>
      <c r="C172" s="5"/>
      <c r="D172" s="5"/>
      <c r="E172" s="5"/>
      <c r="F172" s="5"/>
      <c r="G172" s="5"/>
      <c r="H172" s="5"/>
      <c r="I172" s="92"/>
      <c r="J172" s="92"/>
      <c r="K172" s="92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>
      <c r="A173" s="5"/>
      <c r="B173" s="5"/>
      <c r="C173" s="5"/>
      <c r="D173" s="5"/>
      <c r="E173" s="5"/>
      <c r="F173" s="5"/>
      <c r="G173" s="5"/>
      <c r="H173" s="5"/>
      <c r="I173" s="92"/>
      <c r="J173" s="92"/>
      <c r="K173" s="92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>
      <c r="A174" s="5"/>
      <c r="B174" s="5"/>
      <c r="C174" s="5"/>
      <c r="D174" s="5"/>
      <c r="E174" s="5"/>
      <c r="F174" s="5"/>
      <c r="G174" s="5"/>
      <c r="H174" s="5"/>
      <c r="I174" s="92"/>
      <c r="J174" s="92"/>
      <c r="K174" s="92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>
      <c r="A175" s="5"/>
      <c r="B175" s="5"/>
      <c r="C175" s="5"/>
      <c r="D175" s="5"/>
      <c r="E175" s="5"/>
      <c r="F175" s="5"/>
      <c r="G175" s="5"/>
      <c r="H175" s="5"/>
      <c r="I175" s="92"/>
      <c r="J175" s="92"/>
      <c r="K175" s="92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>
      <c r="A176" s="5"/>
      <c r="B176" s="5"/>
      <c r="C176" s="5"/>
      <c r="D176" s="5"/>
      <c r="E176" s="5"/>
      <c r="F176" s="5"/>
      <c r="G176" s="5"/>
      <c r="H176" s="5"/>
      <c r="I176" s="92"/>
      <c r="J176" s="92"/>
      <c r="K176" s="92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>
      <c r="A177" s="5"/>
      <c r="B177" s="5"/>
      <c r="C177" s="5"/>
      <c r="D177" s="5"/>
      <c r="E177" s="5"/>
      <c r="F177" s="5"/>
      <c r="G177" s="5"/>
      <c r="H177" s="5"/>
      <c r="I177" s="92"/>
      <c r="J177" s="92"/>
      <c r="K177" s="92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>
      <c r="A178" s="5"/>
      <c r="B178" s="5"/>
      <c r="C178" s="5"/>
      <c r="D178" s="5"/>
      <c r="E178" s="5"/>
      <c r="F178" s="5"/>
      <c r="G178" s="5"/>
      <c r="H178" s="5"/>
      <c r="I178" s="92"/>
      <c r="J178" s="92"/>
      <c r="K178" s="92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>
      <c r="A179" s="5"/>
      <c r="B179" s="5"/>
      <c r="C179" s="5"/>
      <c r="D179" s="5"/>
      <c r="E179" s="5"/>
      <c r="F179" s="5"/>
      <c r="G179" s="5"/>
      <c r="H179" s="5"/>
      <c r="I179" s="92"/>
      <c r="J179" s="92"/>
      <c r="K179" s="92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>
      <c r="A180" s="5"/>
      <c r="B180" s="5"/>
      <c r="C180" s="5"/>
      <c r="D180" s="5"/>
      <c r="E180" s="5"/>
      <c r="F180" s="5"/>
      <c r="G180" s="5"/>
      <c r="H180" s="5"/>
      <c r="I180" s="92"/>
      <c r="J180" s="92"/>
      <c r="K180" s="92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>
      <c r="A181" s="5"/>
      <c r="B181" s="5"/>
      <c r="C181" s="5"/>
      <c r="D181" s="5"/>
      <c r="E181" s="5"/>
      <c r="F181" s="5"/>
      <c r="G181" s="5"/>
      <c r="H181" s="5"/>
      <c r="I181" s="92"/>
      <c r="J181" s="92"/>
      <c r="K181" s="92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>
      <c r="A182" s="5"/>
      <c r="B182" s="5"/>
      <c r="C182" s="5"/>
      <c r="D182" s="5"/>
      <c r="E182" s="5"/>
      <c r="F182" s="5"/>
      <c r="G182" s="5"/>
      <c r="H182" s="5"/>
      <c r="I182" s="92"/>
      <c r="J182" s="92"/>
      <c r="K182" s="92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>
      <c r="A183" s="5"/>
      <c r="B183" s="5"/>
      <c r="C183" s="5"/>
      <c r="D183" s="5"/>
      <c r="E183" s="5"/>
      <c r="F183" s="5"/>
      <c r="G183" s="5"/>
      <c r="H183" s="5"/>
      <c r="I183" s="92"/>
      <c r="J183" s="92"/>
      <c r="K183" s="92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>
      <c r="A184" s="5"/>
      <c r="B184" s="5"/>
      <c r="C184" s="5"/>
      <c r="D184" s="5"/>
      <c r="E184" s="5"/>
      <c r="F184" s="5"/>
      <c r="G184" s="5"/>
      <c r="H184" s="5"/>
      <c r="I184" s="92"/>
      <c r="J184" s="92"/>
      <c r="K184" s="92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>
      <c r="A185" s="5"/>
      <c r="B185" s="5"/>
      <c r="C185" s="5"/>
      <c r="D185" s="5"/>
      <c r="E185" s="5"/>
      <c r="F185" s="5"/>
      <c r="G185" s="5"/>
      <c r="H185" s="5"/>
      <c r="I185" s="92"/>
      <c r="J185" s="92"/>
      <c r="K185" s="92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>
      <c r="A186" s="5"/>
      <c r="B186" s="5"/>
      <c r="C186" s="5"/>
      <c r="D186" s="5"/>
      <c r="E186" s="5"/>
      <c r="F186" s="5"/>
      <c r="G186" s="5"/>
      <c r="H186" s="5"/>
      <c r="I186" s="92"/>
      <c r="J186" s="92"/>
      <c r="K186" s="92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>
      <c r="A187" s="5"/>
      <c r="B187" s="5"/>
      <c r="C187" s="5"/>
      <c r="D187" s="5"/>
      <c r="E187" s="5"/>
      <c r="F187" s="5"/>
      <c r="G187" s="5"/>
      <c r="H187" s="5"/>
      <c r="I187" s="92"/>
      <c r="J187" s="92"/>
      <c r="K187" s="92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>
      <c r="A188" s="5"/>
      <c r="B188" s="5"/>
      <c r="C188" s="5"/>
      <c r="D188" s="5"/>
      <c r="E188" s="5"/>
      <c r="F188" s="5"/>
      <c r="G188" s="5"/>
      <c r="H188" s="5"/>
      <c r="I188" s="92"/>
      <c r="J188" s="92"/>
      <c r="K188" s="92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>
      <c r="A189" s="5"/>
      <c r="B189" s="5"/>
      <c r="C189" s="5"/>
      <c r="D189" s="5"/>
      <c r="E189" s="5"/>
      <c r="F189" s="5"/>
      <c r="G189" s="5"/>
      <c r="H189" s="5"/>
      <c r="I189" s="92"/>
      <c r="J189" s="92"/>
      <c r="K189" s="92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>
      <c r="A190" s="5"/>
      <c r="B190" s="5"/>
      <c r="C190" s="5"/>
      <c r="D190" s="5"/>
      <c r="E190" s="5"/>
      <c r="F190" s="5"/>
      <c r="G190" s="5"/>
      <c r="H190" s="5"/>
      <c r="I190" s="92"/>
      <c r="J190" s="92"/>
      <c r="K190" s="92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>
      <c r="A191" s="5"/>
      <c r="B191" s="5"/>
      <c r="C191" s="5"/>
      <c r="D191" s="5"/>
      <c r="E191" s="5"/>
      <c r="F191" s="5"/>
      <c r="G191" s="5"/>
      <c r="H191" s="5"/>
      <c r="I191" s="92"/>
      <c r="J191" s="92"/>
      <c r="K191" s="92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>
      <c r="A192" s="5"/>
      <c r="B192" s="5"/>
      <c r="C192" s="5"/>
      <c r="D192" s="5"/>
      <c r="E192" s="5"/>
      <c r="F192" s="5"/>
      <c r="G192" s="5"/>
      <c r="H192" s="5"/>
      <c r="I192" s="92"/>
      <c r="J192" s="92"/>
      <c r="K192" s="92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>
      <c r="A193" s="5"/>
      <c r="B193" s="5"/>
      <c r="C193" s="5"/>
      <c r="D193" s="5"/>
      <c r="E193" s="5"/>
      <c r="F193" s="5"/>
      <c r="G193" s="5"/>
      <c r="H193" s="5"/>
      <c r="I193" s="92"/>
      <c r="J193" s="92"/>
      <c r="K193" s="92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>
      <c r="A194" s="5"/>
      <c r="B194" s="5"/>
      <c r="C194" s="5"/>
      <c r="D194" s="5"/>
      <c r="E194" s="5"/>
      <c r="F194" s="5"/>
      <c r="G194" s="5"/>
      <c r="H194" s="5"/>
      <c r="I194" s="92"/>
      <c r="J194" s="92"/>
      <c r="K194" s="92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>
      <c r="A195" s="5"/>
      <c r="B195" s="5"/>
      <c r="C195" s="5"/>
      <c r="D195" s="5"/>
      <c r="E195" s="5"/>
      <c r="F195" s="5"/>
      <c r="G195" s="5"/>
      <c r="H195" s="5"/>
      <c r="I195" s="92"/>
      <c r="J195" s="92"/>
      <c r="K195" s="92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>
      <c r="A196" s="5"/>
      <c r="B196" s="5"/>
      <c r="C196" s="5"/>
      <c r="D196" s="5"/>
      <c r="E196" s="5"/>
      <c r="F196" s="5"/>
      <c r="G196" s="5"/>
      <c r="H196" s="5"/>
      <c r="I196" s="92"/>
      <c r="J196" s="92"/>
      <c r="K196" s="92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>
      <c r="A197" s="5"/>
      <c r="B197" s="5"/>
      <c r="C197" s="5"/>
      <c r="D197" s="5"/>
      <c r="E197" s="5"/>
      <c r="F197" s="5"/>
      <c r="G197" s="5"/>
      <c r="H197" s="5"/>
      <c r="I197" s="92"/>
      <c r="J197" s="92"/>
      <c r="K197" s="92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>
      <c r="A198" s="5"/>
      <c r="B198" s="5"/>
      <c r="C198" s="5"/>
      <c r="D198" s="5"/>
      <c r="E198" s="5"/>
      <c r="F198" s="5"/>
      <c r="G198" s="5"/>
      <c r="H198" s="5"/>
      <c r="I198" s="92"/>
      <c r="J198" s="92"/>
      <c r="K198" s="92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>
      <c r="A199" s="5"/>
      <c r="B199" s="5"/>
      <c r="C199" s="5"/>
      <c r="D199" s="5"/>
      <c r="E199" s="5"/>
      <c r="F199" s="5"/>
      <c r="G199" s="5"/>
      <c r="H199" s="5"/>
      <c r="I199" s="92"/>
      <c r="J199" s="92"/>
      <c r="K199" s="92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>
      <c r="A200" s="5"/>
      <c r="B200" s="5"/>
      <c r="C200" s="5"/>
      <c r="D200" s="5"/>
      <c r="E200" s="5"/>
      <c r="F200" s="5"/>
      <c r="G200" s="5"/>
      <c r="H200" s="5"/>
      <c r="I200" s="92"/>
      <c r="J200" s="92"/>
      <c r="K200" s="92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>
      <c r="A201" s="5"/>
      <c r="B201" s="5"/>
      <c r="C201" s="5"/>
      <c r="D201" s="5"/>
      <c r="E201" s="5"/>
      <c r="F201" s="5"/>
      <c r="G201" s="5"/>
      <c r="H201" s="5"/>
      <c r="I201" s="92"/>
      <c r="J201" s="92"/>
      <c r="K201" s="92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>
      <c r="A202" s="5"/>
      <c r="B202" s="5"/>
      <c r="C202" s="5"/>
      <c r="D202" s="5"/>
      <c r="E202" s="5"/>
      <c r="F202" s="5"/>
      <c r="G202" s="5"/>
      <c r="H202" s="5"/>
      <c r="I202" s="92"/>
      <c r="J202" s="92"/>
      <c r="K202" s="92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>
      <c r="A203" s="5"/>
      <c r="B203" s="5"/>
      <c r="C203" s="5"/>
      <c r="D203" s="5"/>
      <c r="E203" s="5"/>
      <c r="F203" s="5"/>
      <c r="G203" s="5"/>
      <c r="H203" s="5"/>
      <c r="I203" s="92"/>
      <c r="J203" s="92"/>
      <c r="K203" s="92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>
      <c r="A204" s="5"/>
      <c r="B204" s="5"/>
      <c r="C204" s="5"/>
      <c r="D204" s="5"/>
      <c r="E204" s="5"/>
      <c r="F204" s="5"/>
      <c r="G204" s="5"/>
      <c r="H204" s="5"/>
      <c r="I204" s="92"/>
      <c r="J204" s="92"/>
      <c r="K204" s="92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>
      <c r="A205" s="5"/>
      <c r="B205" s="5"/>
      <c r="C205" s="5"/>
      <c r="D205" s="5"/>
      <c r="E205" s="5"/>
      <c r="F205" s="5"/>
      <c r="G205" s="5"/>
      <c r="H205" s="5"/>
      <c r="I205" s="92"/>
      <c r="J205" s="92"/>
      <c r="K205" s="92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>
      <c r="A206" s="5"/>
      <c r="B206" s="5"/>
      <c r="C206" s="5"/>
      <c r="D206" s="5"/>
      <c r="E206" s="5"/>
      <c r="F206" s="5"/>
      <c r="G206" s="5"/>
      <c r="H206" s="5"/>
      <c r="I206" s="92"/>
      <c r="J206" s="92"/>
      <c r="K206" s="92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>
      <c r="A207" s="5"/>
      <c r="B207" s="5"/>
      <c r="C207" s="5"/>
      <c r="D207" s="5"/>
      <c r="E207" s="5"/>
      <c r="F207" s="5"/>
      <c r="G207" s="5"/>
      <c r="H207" s="5"/>
      <c r="I207" s="92"/>
      <c r="J207" s="92"/>
      <c r="K207" s="92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>
      <c r="A208" s="5"/>
      <c r="B208" s="5"/>
      <c r="C208" s="5"/>
      <c r="D208" s="5"/>
      <c r="E208" s="5"/>
      <c r="F208" s="5"/>
      <c r="G208" s="5"/>
      <c r="H208" s="5"/>
      <c r="I208" s="92"/>
      <c r="J208" s="92"/>
      <c r="K208" s="92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>
      <c r="A209" s="5"/>
      <c r="B209" s="5"/>
      <c r="C209" s="5"/>
      <c r="D209" s="5"/>
      <c r="E209" s="5"/>
      <c r="F209" s="5"/>
      <c r="G209" s="5"/>
      <c r="H209" s="5"/>
      <c r="I209" s="92"/>
      <c r="J209" s="92"/>
      <c r="K209" s="92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>
      <c r="A210" s="5"/>
      <c r="B210" s="5"/>
      <c r="C210" s="5"/>
      <c r="D210" s="5"/>
      <c r="E210" s="5"/>
      <c r="F210" s="5"/>
      <c r="G210" s="5"/>
      <c r="H210" s="5"/>
      <c r="I210" s="92"/>
      <c r="J210" s="92"/>
      <c r="K210" s="92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>
      <c r="A211" s="5"/>
      <c r="B211" s="5"/>
      <c r="C211" s="5"/>
      <c r="D211" s="5"/>
      <c r="E211" s="5"/>
      <c r="F211" s="5"/>
      <c r="G211" s="5"/>
      <c r="H211" s="5"/>
      <c r="I211" s="92"/>
      <c r="J211" s="92"/>
      <c r="K211" s="92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>
      <c r="A212" s="5"/>
      <c r="B212" s="5"/>
      <c r="C212" s="5"/>
      <c r="D212" s="5"/>
      <c r="E212" s="5"/>
      <c r="F212" s="5"/>
      <c r="G212" s="5"/>
      <c r="H212" s="5"/>
      <c r="I212" s="92"/>
      <c r="J212" s="92"/>
      <c r="K212" s="92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>
      <c r="A213" s="5"/>
      <c r="B213" s="5"/>
      <c r="C213" s="5"/>
      <c r="D213" s="5"/>
      <c r="E213" s="5"/>
      <c r="F213" s="5"/>
      <c r="G213" s="5"/>
      <c r="H213" s="5"/>
      <c r="I213" s="92"/>
      <c r="J213" s="92"/>
      <c r="K213" s="92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>
      <c r="A214" s="5"/>
      <c r="B214" s="5"/>
      <c r="C214" s="5"/>
      <c r="D214" s="5"/>
      <c r="E214" s="5"/>
      <c r="F214" s="5"/>
      <c r="G214" s="5"/>
      <c r="H214" s="5"/>
      <c r="I214" s="92"/>
      <c r="J214" s="92"/>
      <c r="K214" s="92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>
      <c r="A215" s="5"/>
      <c r="B215" s="5"/>
      <c r="C215" s="5"/>
      <c r="D215" s="5"/>
      <c r="E215" s="5"/>
      <c r="F215" s="5"/>
      <c r="G215" s="5"/>
      <c r="H215" s="5"/>
      <c r="I215" s="92"/>
      <c r="J215" s="92"/>
      <c r="K215" s="92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>
      <c r="A216" s="5"/>
      <c r="B216" s="5"/>
      <c r="C216" s="5"/>
      <c r="D216" s="5"/>
      <c r="E216" s="5"/>
      <c r="F216" s="5"/>
      <c r="G216" s="5"/>
      <c r="H216" s="5"/>
      <c r="I216" s="92"/>
      <c r="J216" s="92"/>
      <c r="K216" s="92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>
      <c r="A217" s="5"/>
      <c r="B217" s="5"/>
      <c r="C217" s="5"/>
      <c r="D217" s="5"/>
      <c r="E217" s="5"/>
      <c r="F217" s="5"/>
      <c r="G217" s="5"/>
      <c r="H217" s="5"/>
      <c r="I217" s="92"/>
      <c r="J217" s="92"/>
      <c r="K217" s="92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>
      <c r="A218" s="5"/>
      <c r="B218" s="5"/>
      <c r="C218" s="5"/>
      <c r="D218" s="5"/>
      <c r="E218" s="5"/>
      <c r="F218" s="5"/>
      <c r="G218" s="5"/>
      <c r="H218" s="5"/>
      <c r="I218" s="92"/>
      <c r="J218" s="92"/>
      <c r="K218" s="92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>
      <c r="A219" s="5"/>
      <c r="B219" s="5"/>
      <c r="C219" s="5"/>
      <c r="D219" s="5"/>
      <c r="E219" s="5"/>
      <c r="F219" s="5"/>
      <c r="G219" s="5"/>
      <c r="H219" s="5"/>
      <c r="I219" s="92"/>
      <c r="J219" s="92"/>
      <c r="K219" s="92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>
      <c r="A220" s="5"/>
      <c r="B220" s="5"/>
      <c r="C220" s="5"/>
      <c r="D220" s="5"/>
      <c r="E220" s="5"/>
      <c r="F220" s="5"/>
      <c r="G220" s="5"/>
      <c r="H220" s="5"/>
      <c r="I220" s="92"/>
      <c r="J220" s="92"/>
      <c r="K220" s="92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>
      <c r="A221" s="5"/>
      <c r="B221" s="5"/>
      <c r="C221" s="5"/>
      <c r="D221" s="5"/>
      <c r="E221" s="5"/>
      <c r="F221" s="5"/>
      <c r="G221" s="5"/>
      <c r="H221" s="5"/>
      <c r="I221" s="92"/>
      <c r="J221" s="92"/>
      <c r="K221" s="92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>
      <c r="A222" s="5"/>
      <c r="B222" s="5"/>
      <c r="C222" s="5"/>
      <c r="D222" s="5"/>
      <c r="E222" s="5"/>
      <c r="F222" s="5"/>
      <c r="G222" s="5"/>
      <c r="H222" s="5"/>
      <c r="I222" s="92"/>
      <c r="J222" s="92"/>
      <c r="K222" s="92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>
      <c r="A223" s="5"/>
      <c r="B223" s="5"/>
      <c r="C223" s="5"/>
      <c r="D223" s="5"/>
      <c r="E223" s="5"/>
      <c r="F223" s="5"/>
      <c r="G223" s="5"/>
      <c r="H223" s="5"/>
      <c r="I223" s="92"/>
      <c r="J223" s="92"/>
      <c r="K223" s="92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>
      <c r="A224" s="5"/>
      <c r="B224" s="5"/>
      <c r="C224" s="5"/>
      <c r="D224" s="5"/>
      <c r="E224" s="5"/>
      <c r="F224" s="5"/>
      <c r="G224" s="5"/>
      <c r="H224" s="5"/>
      <c r="I224" s="92"/>
      <c r="J224" s="92"/>
      <c r="K224" s="92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>
      <c r="A225" s="5"/>
      <c r="B225" s="5"/>
      <c r="C225" s="5"/>
      <c r="D225" s="5"/>
      <c r="E225" s="5"/>
      <c r="F225" s="5"/>
      <c r="G225" s="5"/>
      <c r="H225" s="5"/>
      <c r="I225" s="92"/>
      <c r="J225" s="92"/>
      <c r="K225" s="92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>
      <c r="A226" s="5"/>
      <c r="B226" s="5"/>
      <c r="C226" s="5"/>
      <c r="D226" s="5"/>
      <c r="E226" s="5"/>
      <c r="F226" s="5"/>
      <c r="G226" s="5"/>
      <c r="H226" s="5"/>
      <c r="I226" s="92"/>
      <c r="J226" s="92"/>
      <c r="K226" s="92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>
      <c r="A227" s="5"/>
      <c r="B227" s="5"/>
      <c r="C227" s="5"/>
      <c r="D227" s="5"/>
      <c r="E227" s="5"/>
      <c r="F227" s="5"/>
      <c r="G227" s="5"/>
      <c r="H227" s="5"/>
      <c r="I227" s="92"/>
      <c r="J227" s="92"/>
      <c r="K227" s="92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>
      <c r="A228" s="5"/>
      <c r="B228" s="5"/>
      <c r="C228" s="5"/>
      <c r="D228" s="5"/>
      <c r="E228" s="5"/>
      <c r="F228" s="5"/>
      <c r="G228" s="5"/>
      <c r="H228" s="5"/>
      <c r="I228" s="92"/>
      <c r="J228" s="92"/>
      <c r="K228" s="92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>
      <c r="A229" s="5"/>
      <c r="B229" s="5"/>
      <c r="C229" s="5"/>
      <c r="D229" s="5"/>
      <c r="E229" s="5"/>
      <c r="F229" s="5"/>
      <c r="G229" s="5"/>
      <c r="H229" s="5"/>
      <c r="I229" s="92"/>
      <c r="J229" s="92"/>
      <c r="K229" s="92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>
      <c r="A230" s="5"/>
      <c r="B230" s="5"/>
      <c r="C230" s="5"/>
      <c r="D230" s="5"/>
      <c r="E230" s="5"/>
      <c r="F230" s="5"/>
      <c r="G230" s="5"/>
      <c r="H230" s="5"/>
      <c r="I230" s="92"/>
      <c r="J230" s="92"/>
      <c r="K230" s="92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>
      <c r="A231" s="5"/>
      <c r="B231" s="5"/>
      <c r="C231" s="5"/>
      <c r="D231" s="5"/>
      <c r="E231" s="5"/>
      <c r="F231" s="5"/>
      <c r="G231" s="5"/>
      <c r="H231" s="5"/>
      <c r="I231" s="92"/>
      <c r="J231" s="92"/>
      <c r="K231" s="92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>
      <c r="A232" s="5"/>
      <c r="B232" s="5"/>
      <c r="C232" s="5"/>
      <c r="D232" s="5"/>
      <c r="E232" s="5"/>
      <c r="F232" s="5"/>
      <c r="G232" s="5"/>
      <c r="H232" s="5"/>
      <c r="I232" s="92"/>
      <c r="J232" s="92"/>
      <c r="K232" s="92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>
      <c r="A233" s="5"/>
      <c r="B233" s="5"/>
      <c r="C233" s="5"/>
      <c r="D233" s="5"/>
      <c r="E233" s="5"/>
      <c r="F233" s="5"/>
      <c r="G233" s="5"/>
      <c r="H233" s="5"/>
      <c r="I233" s="92"/>
      <c r="J233" s="92"/>
      <c r="K233" s="92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>
      <c r="A234" s="5"/>
      <c r="B234" s="5"/>
      <c r="C234" s="5"/>
      <c r="D234" s="5"/>
      <c r="E234" s="5"/>
      <c r="F234" s="5"/>
      <c r="G234" s="5"/>
      <c r="H234" s="5"/>
      <c r="I234" s="92"/>
      <c r="J234" s="92"/>
      <c r="K234" s="92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>
      <c r="A235" s="5"/>
      <c r="B235" s="5"/>
      <c r="C235" s="5"/>
      <c r="D235" s="5"/>
      <c r="E235" s="5"/>
      <c r="F235" s="5"/>
      <c r="G235" s="5"/>
      <c r="H235" s="5"/>
      <c r="I235" s="92"/>
      <c r="J235" s="92"/>
      <c r="K235" s="92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>
      <c r="A236" s="5"/>
      <c r="B236" s="5"/>
      <c r="C236" s="5"/>
      <c r="D236" s="5"/>
      <c r="E236" s="5"/>
      <c r="F236" s="5"/>
      <c r="G236" s="5"/>
      <c r="H236" s="5"/>
      <c r="I236" s="92"/>
      <c r="J236" s="92"/>
      <c r="K236" s="92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>
      <c r="A237" s="5"/>
      <c r="B237" s="5"/>
      <c r="C237" s="5"/>
      <c r="D237" s="5"/>
      <c r="E237" s="5"/>
      <c r="F237" s="5"/>
      <c r="G237" s="5"/>
      <c r="H237" s="5"/>
      <c r="I237" s="92"/>
      <c r="J237" s="92"/>
      <c r="K237" s="92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>
      <c r="A238" s="5"/>
      <c r="B238" s="5"/>
      <c r="C238" s="5"/>
      <c r="D238" s="5"/>
      <c r="E238" s="5"/>
      <c r="F238" s="5"/>
      <c r="G238" s="5"/>
      <c r="H238" s="5"/>
      <c r="I238" s="92"/>
      <c r="J238" s="92"/>
      <c r="K238" s="92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>
      <c r="A239" s="5"/>
      <c r="B239" s="5"/>
      <c r="C239" s="5"/>
      <c r="D239" s="5"/>
      <c r="E239" s="5"/>
      <c r="F239" s="5"/>
      <c r="G239" s="5"/>
      <c r="H239" s="5"/>
      <c r="I239" s="92"/>
      <c r="J239" s="92"/>
      <c r="K239" s="92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>
      <c r="A240" s="5"/>
      <c r="B240" s="5"/>
      <c r="C240" s="5"/>
      <c r="D240" s="5"/>
      <c r="E240" s="5"/>
      <c r="F240" s="5"/>
      <c r="G240" s="5"/>
      <c r="H240" s="5"/>
      <c r="I240" s="92"/>
      <c r="J240" s="92"/>
      <c r="K240" s="92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>
      <c r="A241" s="5"/>
      <c r="B241" s="5"/>
      <c r="C241" s="5"/>
      <c r="D241" s="5"/>
      <c r="E241" s="5"/>
      <c r="F241" s="5"/>
      <c r="G241" s="5"/>
      <c r="H241" s="5"/>
      <c r="I241" s="92"/>
      <c r="J241" s="92"/>
      <c r="K241" s="92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>
      <c r="A242" s="5"/>
      <c r="B242" s="5"/>
      <c r="C242" s="5"/>
      <c r="D242" s="5"/>
      <c r="E242" s="5"/>
      <c r="F242" s="5"/>
      <c r="G242" s="5"/>
      <c r="H242" s="5"/>
      <c r="I242" s="92"/>
      <c r="J242" s="92"/>
      <c r="K242" s="92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>
      <c r="A243" s="5"/>
      <c r="B243" s="5"/>
      <c r="C243" s="5"/>
      <c r="D243" s="5"/>
      <c r="E243" s="5"/>
      <c r="F243" s="5"/>
      <c r="G243" s="5"/>
      <c r="H243" s="5"/>
      <c r="I243" s="92"/>
      <c r="J243" s="92"/>
      <c r="K243" s="92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>
      <c r="A244" s="5"/>
      <c r="B244" s="5"/>
      <c r="C244" s="5"/>
      <c r="D244" s="5"/>
      <c r="E244" s="5"/>
      <c r="F244" s="5"/>
      <c r="G244" s="5"/>
      <c r="H244" s="5"/>
      <c r="I244" s="92"/>
      <c r="J244" s="92"/>
      <c r="K244" s="92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>
      <c r="A245" s="5"/>
      <c r="B245" s="5"/>
      <c r="C245" s="5"/>
      <c r="D245" s="5"/>
      <c r="E245" s="5"/>
      <c r="F245" s="5"/>
      <c r="G245" s="5"/>
      <c r="H245" s="5"/>
      <c r="I245" s="92"/>
      <c r="J245" s="92"/>
      <c r="K245" s="92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>
      <c r="A246" s="5"/>
      <c r="B246" s="5"/>
      <c r="C246" s="5"/>
      <c r="D246" s="5"/>
      <c r="E246" s="5"/>
      <c r="F246" s="5"/>
      <c r="G246" s="5"/>
      <c r="H246" s="5"/>
      <c r="I246" s="92"/>
      <c r="J246" s="92"/>
      <c r="K246" s="92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>
      <c r="A247" s="5"/>
      <c r="B247" s="5"/>
      <c r="C247" s="5"/>
      <c r="D247" s="5"/>
      <c r="E247" s="5"/>
      <c r="F247" s="5"/>
      <c r="G247" s="5"/>
      <c r="H247" s="5"/>
      <c r="I247" s="92"/>
      <c r="J247" s="92"/>
      <c r="K247" s="92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>
      <c r="A248" s="5"/>
      <c r="B248" s="5"/>
      <c r="C248" s="5"/>
      <c r="D248" s="5"/>
      <c r="E248" s="5"/>
      <c r="F248" s="5"/>
      <c r="G248" s="5"/>
      <c r="H248" s="5"/>
      <c r="I248" s="92"/>
      <c r="J248" s="92"/>
      <c r="K248" s="92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>
      <c r="A249" s="5"/>
      <c r="B249" s="5"/>
      <c r="C249" s="5"/>
      <c r="D249" s="5"/>
      <c r="E249" s="5"/>
      <c r="F249" s="5"/>
      <c r="G249" s="5"/>
      <c r="H249" s="5"/>
      <c r="I249" s="92"/>
      <c r="J249" s="92"/>
      <c r="K249" s="92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>
      <c r="A250" s="5"/>
      <c r="B250" s="5"/>
      <c r="C250" s="5"/>
      <c r="D250" s="5"/>
      <c r="E250" s="5"/>
      <c r="F250" s="5"/>
      <c r="G250" s="5"/>
      <c r="H250" s="5"/>
      <c r="I250" s="92"/>
      <c r="J250" s="92"/>
      <c r="K250" s="92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>
      <c r="A251" s="5"/>
      <c r="B251" s="5"/>
      <c r="C251" s="5"/>
      <c r="D251" s="5"/>
      <c r="E251" s="5"/>
      <c r="F251" s="5"/>
      <c r="G251" s="5"/>
      <c r="H251" s="5"/>
      <c r="I251" s="92"/>
      <c r="J251" s="92"/>
      <c r="K251" s="92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>
      <c r="A252" s="5"/>
      <c r="B252" s="5"/>
      <c r="C252" s="5"/>
      <c r="D252" s="5"/>
      <c r="E252" s="5"/>
      <c r="F252" s="5"/>
      <c r="G252" s="5"/>
      <c r="H252" s="5"/>
      <c r="I252" s="92"/>
      <c r="J252" s="92"/>
      <c r="K252" s="92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>
      <c r="A253" s="5"/>
      <c r="B253" s="5"/>
      <c r="C253" s="5"/>
      <c r="D253" s="5"/>
      <c r="E253" s="5"/>
      <c r="F253" s="5"/>
      <c r="G253" s="5"/>
      <c r="H253" s="5"/>
      <c r="I253" s="92"/>
      <c r="J253" s="92"/>
      <c r="K253" s="92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>
      <c r="A254" s="5"/>
      <c r="B254" s="5"/>
      <c r="C254" s="5"/>
      <c r="D254" s="5"/>
      <c r="E254" s="5"/>
      <c r="F254" s="5"/>
      <c r="G254" s="5"/>
      <c r="H254" s="5"/>
      <c r="I254" s="92"/>
      <c r="J254" s="92"/>
      <c r="K254" s="92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>
      <c r="A255" s="5"/>
      <c r="B255" s="5"/>
      <c r="C255" s="5"/>
      <c r="D255" s="5"/>
      <c r="E255" s="5"/>
      <c r="F255" s="5"/>
      <c r="G255" s="5"/>
      <c r="H255" s="5"/>
      <c r="I255" s="92"/>
      <c r="J255" s="92"/>
      <c r="K255" s="92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>
      <c r="A256" s="5"/>
      <c r="B256" s="5"/>
      <c r="C256" s="5"/>
      <c r="D256" s="5"/>
      <c r="E256" s="5"/>
      <c r="F256" s="5"/>
      <c r="G256" s="5"/>
      <c r="H256" s="5"/>
      <c r="I256" s="92"/>
      <c r="J256" s="92"/>
      <c r="K256" s="92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>
      <c r="A257" s="5"/>
      <c r="B257" s="5"/>
      <c r="C257" s="5"/>
      <c r="D257" s="5"/>
      <c r="E257" s="5"/>
      <c r="F257" s="5"/>
      <c r="G257" s="5"/>
      <c r="H257" s="5"/>
      <c r="I257" s="92"/>
      <c r="J257" s="92"/>
      <c r="K257" s="92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>
      <c r="A258" s="5"/>
      <c r="B258" s="5"/>
      <c r="C258" s="5"/>
      <c r="D258" s="5"/>
      <c r="E258" s="5"/>
      <c r="F258" s="5"/>
      <c r="G258" s="5"/>
      <c r="H258" s="5"/>
      <c r="I258" s="92"/>
      <c r="J258" s="92"/>
      <c r="K258" s="92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>
      <c r="A259" s="5"/>
      <c r="B259" s="5"/>
      <c r="C259" s="5"/>
      <c r="D259" s="5"/>
      <c r="E259" s="5"/>
      <c r="F259" s="5"/>
      <c r="G259" s="5"/>
      <c r="H259" s="5"/>
      <c r="I259" s="92"/>
      <c r="J259" s="92"/>
      <c r="K259" s="92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>
      <c r="A260" s="5"/>
      <c r="B260" s="5"/>
      <c r="C260" s="5"/>
      <c r="D260" s="5"/>
      <c r="E260" s="5"/>
      <c r="F260" s="5"/>
      <c r="G260" s="5"/>
      <c r="H260" s="5"/>
      <c r="I260" s="92"/>
      <c r="J260" s="92"/>
      <c r="K260" s="92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>
      <c r="A261" s="5"/>
      <c r="B261" s="5"/>
      <c r="C261" s="5"/>
      <c r="D261" s="5"/>
      <c r="E261" s="5"/>
      <c r="F261" s="5"/>
      <c r="G261" s="5"/>
      <c r="H261" s="5"/>
      <c r="I261" s="92"/>
      <c r="J261" s="92"/>
      <c r="K261" s="92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>
      <c r="A262" s="5"/>
      <c r="B262" s="5"/>
      <c r="C262" s="5"/>
      <c r="D262" s="5"/>
      <c r="E262" s="5"/>
      <c r="F262" s="5"/>
      <c r="G262" s="5"/>
      <c r="H262" s="5"/>
      <c r="I262" s="92"/>
      <c r="J262" s="92"/>
      <c r="K262" s="92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>
      <c r="A263" s="5"/>
      <c r="B263" s="5"/>
      <c r="C263" s="5"/>
      <c r="D263" s="5"/>
      <c r="E263" s="5"/>
      <c r="F263" s="5"/>
      <c r="G263" s="5"/>
      <c r="H263" s="5"/>
      <c r="I263" s="92"/>
      <c r="J263" s="92"/>
      <c r="K263" s="92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>
      <c r="A264" s="5"/>
      <c r="B264" s="5"/>
      <c r="C264" s="5"/>
      <c r="D264" s="5"/>
      <c r="E264" s="5"/>
      <c r="F264" s="5"/>
      <c r="G264" s="5"/>
      <c r="H264" s="5"/>
      <c r="I264" s="92"/>
      <c r="J264" s="92"/>
      <c r="K264" s="92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>
      <c r="A265" s="5"/>
      <c r="B265" s="5"/>
      <c r="C265" s="5"/>
      <c r="D265" s="5"/>
      <c r="E265" s="5"/>
      <c r="F265" s="5"/>
      <c r="G265" s="5"/>
      <c r="H265" s="5"/>
      <c r="I265" s="92"/>
      <c r="J265" s="92"/>
      <c r="K265" s="92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>
      <c r="A266" s="5"/>
      <c r="B266" s="5"/>
      <c r="C266" s="5"/>
      <c r="D266" s="5"/>
      <c r="E266" s="5"/>
      <c r="F266" s="5"/>
      <c r="G266" s="5"/>
      <c r="H266" s="5"/>
      <c r="I266" s="92"/>
      <c r="J266" s="92"/>
      <c r="K266" s="92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>
      <c r="A267" s="5"/>
      <c r="B267" s="5"/>
      <c r="C267" s="5"/>
      <c r="D267" s="5"/>
      <c r="E267" s="5"/>
      <c r="F267" s="5"/>
      <c r="G267" s="5"/>
      <c r="H267" s="5"/>
      <c r="I267" s="92"/>
      <c r="J267" s="92"/>
      <c r="K267" s="92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>
      <c r="A268" s="5"/>
      <c r="B268" s="5"/>
      <c r="C268" s="5"/>
      <c r="D268" s="5"/>
      <c r="E268" s="5"/>
      <c r="F268" s="5"/>
      <c r="G268" s="5"/>
      <c r="H268" s="5"/>
      <c r="I268" s="92"/>
      <c r="J268" s="92"/>
      <c r="K268" s="92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>
      <c r="A269" s="5"/>
      <c r="B269" s="5"/>
      <c r="C269" s="5"/>
      <c r="D269" s="5"/>
      <c r="E269" s="5"/>
      <c r="F269" s="5"/>
      <c r="G269" s="5"/>
      <c r="H269" s="5"/>
      <c r="I269" s="92"/>
      <c r="J269" s="92"/>
      <c r="K269" s="92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>
      <c r="A270" s="5"/>
      <c r="B270" s="5"/>
      <c r="C270" s="5"/>
      <c r="D270" s="5"/>
      <c r="E270" s="5"/>
      <c r="F270" s="5"/>
      <c r="G270" s="5"/>
      <c r="H270" s="5"/>
      <c r="I270" s="92"/>
      <c r="J270" s="92"/>
      <c r="K270" s="92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>
      <c r="A271" s="5"/>
      <c r="B271" s="5"/>
      <c r="C271" s="5"/>
      <c r="D271" s="5"/>
      <c r="E271" s="5"/>
      <c r="F271" s="5"/>
      <c r="G271" s="5"/>
      <c r="H271" s="5"/>
      <c r="I271" s="92"/>
      <c r="J271" s="92"/>
      <c r="K271" s="92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>
      <c r="A272" s="5"/>
      <c r="B272" s="5"/>
      <c r="C272" s="5"/>
      <c r="D272" s="5"/>
      <c r="E272" s="5"/>
      <c r="F272" s="5"/>
      <c r="G272" s="5"/>
      <c r="H272" s="5"/>
      <c r="I272" s="92"/>
      <c r="J272" s="92"/>
      <c r="K272" s="92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>
      <c r="A273" s="5"/>
      <c r="B273" s="5"/>
      <c r="C273" s="5"/>
      <c r="D273" s="5"/>
      <c r="E273" s="5"/>
      <c r="F273" s="5"/>
      <c r="G273" s="5"/>
      <c r="H273" s="5"/>
      <c r="I273" s="92"/>
      <c r="J273" s="92"/>
      <c r="K273" s="92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>
      <c r="A274" s="5"/>
      <c r="B274" s="5"/>
      <c r="C274" s="5"/>
      <c r="D274" s="5"/>
      <c r="E274" s="5"/>
      <c r="F274" s="5"/>
      <c r="G274" s="5"/>
      <c r="H274" s="5"/>
      <c r="I274" s="92"/>
      <c r="J274" s="92"/>
      <c r="K274" s="92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>
      <c r="A275" s="5"/>
      <c r="B275" s="5"/>
      <c r="C275" s="5"/>
      <c r="D275" s="5"/>
      <c r="E275" s="5"/>
      <c r="F275" s="5"/>
      <c r="G275" s="5"/>
      <c r="H275" s="5"/>
      <c r="I275" s="92"/>
      <c r="J275" s="92"/>
      <c r="K275" s="92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>
      <c r="A276" s="5"/>
      <c r="B276" s="5"/>
      <c r="C276" s="5"/>
      <c r="D276" s="5"/>
      <c r="E276" s="5"/>
      <c r="F276" s="5"/>
      <c r="G276" s="5"/>
      <c r="H276" s="5"/>
      <c r="I276" s="92"/>
      <c r="J276" s="92"/>
      <c r="K276" s="92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>
      <c r="A277" s="5"/>
      <c r="B277" s="5"/>
      <c r="C277" s="5"/>
      <c r="D277" s="5"/>
      <c r="E277" s="5"/>
      <c r="F277" s="5"/>
      <c r="G277" s="5"/>
      <c r="H277" s="5"/>
      <c r="I277" s="92"/>
      <c r="J277" s="92"/>
      <c r="K277" s="92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>
      <c r="A278" s="5"/>
      <c r="B278" s="5"/>
      <c r="C278" s="5"/>
      <c r="D278" s="5"/>
      <c r="E278" s="5"/>
      <c r="F278" s="5"/>
      <c r="G278" s="5"/>
      <c r="H278" s="5"/>
      <c r="I278" s="92"/>
      <c r="J278" s="92"/>
      <c r="K278" s="92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>
      <c r="A279" s="5"/>
      <c r="B279" s="5"/>
      <c r="C279" s="5"/>
      <c r="D279" s="5"/>
      <c r="E279" s="5"/>
      <c r="F279" s="5"/>
      <c r="G279" s="5"/>
      <c r="H279" s="5"/>
      <c r="I279" s="92"/>
      <c r="J279" s="92"/>
      <c r="K279" s="92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>
      <c r="A280" s="5"/>
      <c r="B280" s="5"/>
      <c r="C280" s="5"/>
      <c r="D280" s="5"/>
      <c r="E280" s="5"/>
      <c r="F280" s="5"/>
      <c r="G280" s="5"/>
      <c r="H280" s="5"/>
      <c r="I280" s="92"/>
      <c r="J280" s="92"/>
      <c r="K280" s="92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>
      <c r="A281" s="5"/>
      <c r="B281" s="5"/>
      <c r="C281" s="5"/>
      <c r="D281" s="5"/>
      <c r="E281" s="5"/>
      <c r="F281" s="5"/>
      <c r="G281" s="5"/>
      <c r="H281" s="5"/>
      <c r="I281" s="92"/>
      <c r="J281" s="92"/>
      <c r="K281" s="92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>
      <c r="A282" s="5"/>
      <c r="B282" s="5"/>
      <c r="C282" s="5"/>
      <c r="D282" s="5"/>
      <c r="E282" s="5"/>
      <c r="F282" s="5"/>
      <c r="G282" s="5"/>
      <c r="H282" s="5"/>
      <c r="I282" s="92"/>
      <c r="J282" s="92"/>
      <c r="K282" s="92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>
      <c r="A283" s="5"/>
      <c r="B283" s="5"/>
      <c r="C283" s="5"/>
      <c r="D283" s="5"/>
      <c r="E283" s="5"/>
      <c r="F283" s="5"/>
      <c r="G283" s="5"/>
      <c r="H283" s="5"/>
      <c r="I283" s="92"/>
      <c r="J283" s="92"/>
      <c r="K283" s="92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>
      <c r="A284" s="5"/>
      <c r="B284" s="5"/>
      <c r="C284" s="5"/>
      <c r="D284" s="5"/>
      <c r="E284" s="5"/>
      <c r="F284" s="5"/>
      <c r="G284" s="5"/>
      <c r="H284" s="5"/>
      <c r="I284" s="92"/>
      <c r="J284" s="92"/>
      <c r="K284" s="92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>
      <c r="A285" s="5"/>
      <c r="B285" s="5"/>
      <c r="C285" s="5"/>
      <c r="D285" s="5"/>
      <c r="E285" s="5"/>
      <c r="F285" s="5"/>
      <c r="G285" s="5"/>
      <c r="H285" s="5"/>
      <c r="I285" s="92"/>
      <c r="J285" s="92"/>
      <c r="K285" s="92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>
      <c r="A286" s="5"/>
      <c r="B286" s="5"/>
      <c r="C286" s="5"/>
      <c r="D286" s="5"/>
      <c r="E286" s="5"/>
      <c r="F286" s="5"/>
      <c r="G286" s="5"/>
      <c r="H286" s="5"/>
      <c r="I286" s="92"/>
      <c r="J286" s="92"/>
      <c r="K286" s="92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>
      <c r="A287" s="5"/>
      <c r="B287" s="5"/>
      <c r="C287" s="5"/>
      <c r="D287" s="5"/>
      <c r="E287" s="5"/>
      <c r="F287" s="5"/>
      <c r="G287" s="5"/>
      <c r="H287" s="5"/>
      <c r="I287" s="92"/>
      <c r="J287" s="92"/>
      <c r="K287" s="92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>
      <c r="A288" s="5"/>
      <c r="B288" s="5"/>
      <c r="C288" s="5"/>
      <c r="D288" s="5"/>
      <c r="E288" s="5"/>
      <c r="F288" s="5"/>
      <c r="G288" s="5"/>
      <c r="H288" s="5"/>
      <c r="I288" s="92"/>
      <c r="J288" s="92"/>
      <c r="K288" s="92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>
      <c r="A289" s="5"/>
      <c r="B289" s="5"/>
      <c r="C289" s="5"/>
      <c r="D289" s="5"/>
      <c r="E289" s="5"/>
      <c r="F289" s="5"/>
      <c r="G289" s="5"/>
      <c r="H289" s="5"/>
      <c r="I289" s="92"/>
      <c r="J289" s="92"/>
      <c r="K289" s="92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>
      <c r="A290" s="5"/>
      <c r="B290" s="5"/>
      <c r="C290" s="5"/>
      <c r="D290" s="5"/>
      <c r="E290" s="5"/>
      <c r="F290" s="5"/>
      <c r="G290" s="5"/>
      <c r="H290" s="5"/>
      <c r="I290" s="92"/>
      <c r="J290" s="92"/>
      <c r="K290" s="92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>
      <c r="A291" s="5"/>
      <c r="B291" s="5"/>
      <c r="C291" s="5"/>
      <c r="D291" s="5"/>
      <c r="E291" s="5"/>
      <c r="F291" s="5"/>
      <c r="G291" s="5"/>
      <c r="H291" s="5"/>
      <c r="I291" s="92"/>
      <c r="J291" s="92"/>
      <c r="K291" s="92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>
      <c r="A292" s="5"/>
      <c r="B292" s="5"/>
      <c r="C292" s="5"/>
      <c r="D292" s="5"/>
      <c r="E292" s="5"/>
      <c r="F292" s="5"/>
      <c r="G292" s="5"/>
      <c r="H292" s="5"/>
      <c r="I292" s="92"/>
      <c r="J292" s="92"/>
      <c r="K292" s="92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>
      <c r="A293" s="5"/>
      <c r="B293" s="5"/>
      <c r="C293" s="5"/>
      <c r="D293" s="5"/>
      <c r="E293" s="5"/>
      <c r="F293" s="5"/>
      <c r="G293" s="5"/>
      <c r="H293" s="5"/>
      <c r="I293" s="92"/>
      <c r="J293" s="92"/>
      <c r="K293" s="92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>
      <c r="A294" s="5"/>
      <c r="B294" s="5"/>
      <c r="C294" s="5"/>
      <c r="D294" s="5"/>
      <c r="E294" s="5"/>
      <c r="F294" s="5"/>
      <c r="G294" s="5"/>
      <c r="H294" s="5"/>
      <c r="I294" s="92"/>
      <c r="J294" s="92"/>
      <c r="K294" s="92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>
      <c r="A295" s="5"/>
      <c r="B295" s="5"/>
      <c r="C295" s="5"/>
      <c r="D295" s="5"/>
      <c r="E295" s="5"/>
      <c r="F295" s="5"/>
      <c r="G295" s="5"/>
      <c r="H295" s="5"/>
      <c r="I295" s="92"/>
      <c r="J295" s="92"/>
      <c r="K295" s="92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>
      <c r="A296" s="5"/>
      <c r="B296" s="5"/>
      <c r="C296" s="5"/>
      <c r="D296" s="5"/>
      <c r="E296" s="5"/>
      <c r="F296" s="5"/>
      <c r="G296" s="5"/>
      <c r="H296" s="5"/>
      <c r="I296" s="92"/>
      <c r="J296" s="92"/>
      <c r="K296" s="92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>
      <c r="A297" s="5"/>
      <c r="B297" s="5"/>
      <c r="C297" s="5"/>
      <c r="D297" s="5"/>
      <c r="E297" s="5"/>
      <c r="F297" s="5"/>
      <c r="G297" s="5"/>
      <c r="H297" s="5"/>
      <c r="I297" s="92"/>
      <c r="J297" s="92"/>
      <c r="K297" s="92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>
      <c r="A298" s="5"/>
      <c r="B298" s="5"/>
      <c r="C298" s="5"/>
      <c r="D298" s="5"/>
      <c r="E298" s="5"/>
      <c r="F298" s="5"/>
      <c r="G298" s="5"/>
      <c r="H298" s="5"/>
      <c r="I298" s="92"/>
      <c r="J298" s="92"/>
      <c r="K298" s="92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>
      <c r="A299" s="5"/>
      <c r="B299" s="5"/>
      <c r="C299" s="5"/>
      <c r="D299" s="5"/>
      <c r="E299" s="5"/>
      <c r="F299" s="5"/>
      <c r="G299" s="5"/>
      <c r="H299" s="5"/>
      <c r="I299" s="92"/>
      <c r="J299" s="92"/>
      <c r="K299" s="92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>
      <c r="A300" s="5"/>
      <c r="B300" s="5"/>
      <c r="C300" s="5"/>
      <c r="D300" s="5"/>
      <c r="E300" s="5"/>
      <c r="F300" s="5"/>
      <c r="G300" s="5"/>
      <c r="H300" s="5"/>
      <c r="I300" s="92"/>
      <c r="J300" s="92"/>
      <c r="K300" s="92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>
      <c r="A301" s="5"/>
      <c r="B301" s="5"/>
      <c r="C301" s="5"/>
      <c r="D301" s="5"/>
      <c r="E301" s="5"/>
      <c r="F301" s="5"/>
      <c r="G301" s="5"/>
      <c r="H301" s="5"/>
      <c r="I301" s="92"/>
      <c r="J301" s="92"/>
      <c r="K301" s="92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>
      <c r="A302" s="5"/>
      <c r="B302" s="5"/>
      <c r="C302" s="5"/>
      <c r="D302" s="5"/>
      <c r="E302" s="5"/>
      <c r="F302" s="5"/>
      <c r="G302" s="5"/>
      <c r="H302" s="5"/>
      <c r="I302" s="92"/>
      <c r="J302" s="92"/>
      <c r="K302" s="92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>
      <c r="A303" s="5"/>
      <c r="B303" s="5"/>
      <c r="C303" s="5"/>
      <c r="D303" s="5"/>
      <c r="E303" s="5"/>
      <c r="F303" s="5"/>
      <c r="G303" s="5"/>
      <c r="H303" s="5"/>
      <c r="I303" s="92"/>
      <c r="J303" s="92"/>
      <c r="K303" s="92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>
      <c r="A304" s="5"/>
      <c r="B304" s="5"/>
      <c r="C304" s="5"/>
      <c r="D304" s="5"/>
      <c r="E304" s="5"/>
      <c r="F304" s="5"/>
      <c r="G304" s="5"/>
      <c r="H304" s="5"/>
      <c r="I304" s="92"/>
      <c r="J304" s="92"/>
      <c r="K304" s="92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>
      <c r="A305" s="5"/>
      <c r="B305" s="5"/>
      <c r="C305" s="5"/>
      <c r="D305" s="5"/>
      <c r="E305" s="5"/>
      <c r="F305" s="5"/>
      <c r="G305" s="5"/>
      <c r="H305" s="5"/>
      <c r="I305" s="92"/>
      <c r="J305" s="92"/>
      <c r="K305" s="92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>
      <c r="A306" s="5"/>
      <c r="B306" s="5"/>
      <c r="C306" s="5"/>
      <c r="D306" s="5"/>
      <c r="E306" s="5"/>
      <c r="F306" s="5"/>
      <c r="G306" s="5"/>
      <c r="H306" s="5"/>
      <c r="I306" s="92"/>
      <c r="J306" s="92"/>
      <c r="K306" s="92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>
      <c r="A307" s="5"/>
      <c r="B307" s="5"/>
      <c r="C307" s="5"/>
      <c r="D307" s="5"/>
      <c r="E307" s="5"/>
      <c r="F307" s="5"/>
      <c r="G307" s="5"/>
      <c r="H307" s="5"/>
      <c r="I307" s="92"/>
      <c r="J307" s="92"/>
      <c r="K307" s="92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>
      <c r="A308" s="5"/>
      <c r="B308" s="5"/>
      <c r="C308" s="5"/>
      <c r="D308" s="5"/>
      <c r="E308" s="5"/>
      <c r="F308" s="5"/>
      <c r="G308" s="5"/>
      <c r="H308" s="5"/>
      <c r="I308" s="92"/>
      <c r="J308" s="92"/>
      <c r="K308" s="92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>
      <c r="A309" s="5"/>
      <c r="B309" s="5"/>
      <c r="C309" s="5"/>
      <c r="D309" s="5"/>
      <c r="E309" s="5"/>
      <c r="F309" s="5"/>
      <c r="G309" s="5"/>
      <c r="H309" s="5"/>
      <c r="I309" s="92"/>
      <c r="J309" s="92"/>
      <c r="K309" s="92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>
      <c r="A310" s="5"/>
      <c r="B310" s="5"/>
      <c r="C310" s="5"/>
      <c r="D310" s="5"/>
      <c r="E310" s="5"/>
      <c r="F310" s="5"/>
      <c r="G310" s="5"/>
      <c r="H310" s="5"/>
      <c r="I310" s="92"/>
      <c r="J310" s="92"/>
      <c r="K310" s="92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>
      <c r="A311" s="5"/>
      <c r="B311" s="5"/>
      <c r="C311" s="5"/>
      <c r="D311" s="5"/>
      <c r="E311" s="5"/>
      <c r="F311" s="5"/>
      <c r="G311" s="5"/>
      <c r="H311" s="5"/>
      <c r="I311" s="92"/>
      <c r="J311" s="92"/>
      <c r="K311" s="92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>
      <c r="A312" s="5"/>
      <c r="B312" s="5"/>
      <c r="C312" s="5"/>
      <c r="D312" s="5"/>
      <c r="E312" s="5"/>
      <c r="F312" s="5"/>
      <c r="G312" s="5"/>
      <c r="H312" s="5"/>
      <c r="I312" s="92"/>
      <c r="J312" s="92"/>
      <c r="K312" s="92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>
      <c r="A313" s="5"/>
      <c r="B313" s="5"/>
      <c r="C313" s="5"/>
      <c r="D313" s="5"/>
      <c r="E313" s="5"/>
      <c r="F313" s="5"/>
      <c r="G313" s="5"/>
      <c r="H313" s="5"/>
      <c r="I313" s="92"/>
      <c r="J313" s="92"/>
      <c r="K313" s="92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>
      <c r="A314" s="5"/>
      <c r="B314" s="5"/>
      <c r="C314" s="5"/>
      <c r="D314" s="5"/>
      <c r="E314" s="5"/>
      <c r="F314" s="5"/>
      <c r="G314" s="5"/>
      <c r="H314" s="5"/>
      <c r="I314" s="92"/>
      <c r="J314" s="92"/>
      <c r="K314" s="92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>
      <c r="A315" s="5"/>
      <c r="B315" s="5"/>
      <c r="C315" s="5"/>
      <c r="D315" s="5"/>
      <c r="E315" s="5"/>
      <c r="F315" s="5"/>
      <c r="G315" s="5"/>
      <c r="H315" s="5"/>
      <c r="I315" s="92"/>
      <c r="J315" s="92"/>
      <c r="K315" s="92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>
      <c r="A316" s="5"/>
      <c r="B316" s="5"/>
      <c r="C316" s="5"/>
      <c r="D316" s="5"/>
      <c r="E316" s="5"/>
      <c r="F316" s="5"/>
      <c r="G316" s="5"/>
      <c r="H316" s="5"/>
      <c r="I316" s="92"/>
      <c r="J316" s="92"/>
      <c r="K316" s="92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>
      <c r="A317" s="5"/>
      <c r="B317" s="5"/>
      <c r="C317" s="5"/>
      <c r="D317" s="5"/>
      <c r="E317" s="5"/>
      <c r="F317" s="5"/>
      <c r="G317" s="5"/>
      <c r="H317" s="5"/>
      <c r="I317" s="92"/>
      <c r="J317" s="92"/>
      <c r="K317" s="92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>
      <c r="A318" s="5"/>
      <c r="B318" s="5"/>
      <c r="C318" s="5"/>
      <c r="D318" s="5"/>
      <c r="E318" s="5"/>
      <c r="F318" s="5"/>
      <c r="G318" s="5"/>
      <c r="H318" s="5"/>
      <c r="I318" s="92"/>
      <c r="J318" s="92"/>
      <c r="K318" s="92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>
      <c r="A319" s="5"/>
      <c r="B319" s="5"/>
      <c r="C319" s="5"/>
      <c r="D319" s="5"/>
      <c r="E319" s="5"/>
      <c r="F319" s="5"/>
      <c r="G319" s="5"/>
      <c r="H319" s="5"/>
      <c r="I319" s="92"/>
      <c r="J319" s="92"/>
      <c r="K319" s="92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>
      <c r="A320" s="5"/>
      <c r="B320" s="5"/>
      <c r="C320" s="5"/>
      <c r="D320" s="5"/>
      <c r="E320" s="5"/>
      <c r="F320" s="5"/>
      <c r="G320" s="5"/>
      <c r="H320" s="5"/>
      <c r="I320" s="92"/>
      <c r="J320" s="92"/>
      <c r="K320" s="92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>
      <c r="A321" s="5"/>
      <c r="B321" s="5"/>
      <c r="C321" s="5"/>
      <c r="D321" s="5"/>
      <c r="E321" s="5"/>
      <c r="F321" s="5"/>
      <c r="G321" s="5"/>
      <c r="H321" s="5"/>
      <c r="I321" s="92"/>
      <c r="J321" s="92"/>
      <c r="K321" s="92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>
      <c r="A322" s="5"/>
      <c r="B322" s="5"/>
      <c r="C322" s="5"/>
      <c r="D322" s="5"/>
      <c r="E322" s="5"/>
      <c r="F322" s="5"/>
      <c r="G322" s="5"/>
      <c r="H322" s="5"/>
      <c r="I322" s="92"/>
      <c r="J322" s="92"/>
      <c r="K322" s="92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>
      <c r="A323" s="5"/>
      <c r="B323" s="5"/>
      <c r="C323" s="5"/>
      <c r="D323" s="5"/>
      <c r="E323" s="5"/>
      <c r="F323" s="5"/>
      <c r="G323" s="5"/>
      <c r="H323" s="5"/>
      <c r="I323" s="92"/>
      <c r="J323" s="92"/>
      <c r="K323" s="92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>
      <c r="A324" s="5"/>
      <c r="B324" s="5"/>
      <c r="C324" s="5"/>
      <c r="D324" s="5"/>
      <c r="E324" s="5"/>
      <c r="F324" s="5"/>
      <c r="G324" s="5"/>
      <c r="H324" s="5"/>
      <c r="I324" s="92"/>
      <c r="J324" s="92"/>
      <c r="K324" s="92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>
      <c r="A325" s="5"/>
      <c r="B325" s="5"/>
      <c r="C325" s="5"/>
      <c r="D325" s="5"/>
      <c r="E325" s="5"/>
      <c r="F325" s="5"/>
      <c r="G325" s="5"/>
      <c r="H325" s="5"/>
      <c r="I325" s="92"/>
      <c r="J325" s="92"/>
      <c r="K325" s="92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>
      <c r="A326" s="5"/>
      <c r="B326" s="5"/>
      <c r="C326" s="5"/>
      <c r="D326" s="5"/>
      <c r="E326" s="5"/>
      <c r="F326" s="5"/>
      <c r="G326" s="5"/>
      <c r="H326" s="5"/>
      <c r="I326" s="92"/>
      <c r="J326" s="92"/>
      <c r="K326" s="92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>
      <c r="A327" s="5"/>
      <c r="B327" s="5"/>
      <c r="C327" s="5"/>
      <c r="D327" s="5"/>
      <c r="E327" s="5"/>
      <c r="F327" s="5"/>
      <c r="G327" s="5"/>
      <c r="H327" s="5"/>
      <c r="I327" s="92"/>
      <c r="J327" s="92"/>
      <c r="K327" s="92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>
      <c r="A328" s="5"/>
      <c r="B328" s="5"/>
      <c r="C328" s="5"/>
      <c r="D328" s="5"/>
      <c r="E328" s="5"/>
      <c r="F328" s="5"/>
      <c r="G328" s="5"/>
      <c r="H328" s="5"/>
      <c r="I328" s="92"/>
      <c r="J328" s="92"/>
      <c r="K328" s="92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>
      <c r="A329" s="5"/>
      <c r="B329" s="5"/>
      <c r="C329" s="5"/>
      <c r="D329" s="5"/>
      <c r="E329" s="5"/>
      <c r="F329" s="5"/>
      <c r="G329" s="5"/>
      <c r="H329" s="5"/>
      <c r="I329" s="92"/>
      <c r="J329" s="92"/>
      <c r="K329" s="92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>
      <c r="A330" s="5"/>
      <c r="B330" s="5"/>
      <c r="C330" s="5"/>
      <c r="D330" s="5"/>
      <c r="E330" s="5"/>
      <c r="F330" s="5"/>
      <c r="G330" s="5"/>
      <c r="H330" s="5"/>
      <c r="I330" s="92"/>
      <c r="J330" s="92"/>
      <c r="K330" s="92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>
      <c r="A331" s="5"/>
      <c r="B331" s="5"/>
      <c r="C331" s="5"/>
      <c r="D331" s="5"/>
      <c r="E331" s="5"/>
      <c r="F331" s="5"/>
      <c r="G331" s="5"/>
      <c r="H331" s="5"/>
      <c r="I331" s="92"/>
      <c r="J331" s="92"/>
      <c r="K331" s="92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>
      <c r="A332" s="5"/>
      <c r="B332" s="5"/>
      <c r="C332" s="5"/>
      <c r="D332" s="5"/>
      <c r="E332" s="5"/>
      <c r="F332" s="5"/>
      <c r="G332" s="5"/>
      <c r="H332" s="5"/>
      <c r="I332" s="92"/>
      <c r="J332" s="92"/>
      <c r="K332" s="92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>
      <c r="A333" s="5"/>
      <c r="B333" s="5"/>
      <c r="C333" s="5"/>
      <c r="D333" s="5"/>
      <c r="E333" s="5"/>
      <c r="F333" s="5"/>
      <c r="G333" s="5"/>
      <c r="H333" s="5"/>
      <c r="I333" s="92"/>
      <c r="J333" s="92"/>
      <c r="K333" s="92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>
      <c r="A334" s="5"/>
      <c r="B334" s="5"/>
      <c r="C334" s="5"/>
      <c r="D334" s="5"/>
      <c r="E334" s="5"/>
      <c r="F334" s="5"/>
      <c r="G334" s="5"/>
      <c r="H334" s="5"/>
      <c r="I334" s="92"/>
      <c r="J334" s="92"/>
      <c r="K334" s="92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>
      <c r="A335" s="5"/>
      <c r="B335" s="5"/>
      <c r="C335" s="5"/>
      <c r="D335" s="5"/>
      <c r="E335" s="5"/>
      <c r="F335" s="5"/>
      <c r="G335" s="5"/>
      <c r="H335" s="5"/>
      <c r="I335" s="92"/>
      <c r="J335" s="92"/>
      <c r="K335" s="92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>
      <c r="A336" s="5"/>
      <c r="B336" s="5"/>
      <c r="C336" s="5"/>
      <c r="D336" s="5"/>
      <c r="E336" s="5"/>
      <c r="F336" s="5"/>
      <c r="G336" s="5"/>
      <c r="H336" s="5"/>
      <c r="I336" s="92"/>
      <c r="J336" s="92"/>
      <c r="K336" s="92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>
      <c r="A337" s="5"/>
      <c r="B337" s="5"/>
      <c r="C337" s="5"/>
      <c r="D337" s="5"/>
      <c r="E337" s="5"/>
      <c r="F337" s="5"/>
      <c r="G337" s="5"/>
      <c r="H337" s="5"/>
      <c r="I337" s="92"/>
      <c r="J337" s="92"/>
      <c r="K337" s="92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>
      <c r="A338" s="5"/>
      <c r="B338" s="5"/>
      <c r="C338" s="5"/>
      <c r="D338" s="5"/>
      <c r="E338" s="5"/>
      <c r="F338" s="5"/>
      <c r="G338" s="5"/>
      <c r="H338" s="5"/>
      <c r="I338" s="92"/>
      <c r="J338" s="92"/>
      <c r="K338" s="92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>
      <c r="A339" s="5"/>
      <c r="B339" s="5"/>
      <c r="C339" s="5"/>
      <c r="D339" s="5"/>
      <c r="E339" s="5"/>
      <c r="F339" s="5"/>
      <c r="G339" s="5"/>
      <c r="H339" s="5"/>
      <c r="I339" s="92"/>
      <c r="J339" s="92"/>
      <c r="K339" s="92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>
      <c r="A340" s="5"/>
      <c r="B340" s="5"/>
      <c r="C340" s="5"/>
      <c r="D340" s="5"/>
      <c r="E340" s="5"/>
      <c r="F340" s="5"/>
      <c r="G340" s="5"/>
      <c r="H340" s="5"/>
      <c r="I340" s="92"/>
      <c r="J340" s="92"/>
      <c r="K340" s="92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>
      <c r="A341" s="5"/>
      <c r="B341" s="5"/>
      <c r="C341" s="5"/>
      <c r="D341" s="5"/>
      <c r="E341" s="5"/>
      <c r="F341" s="5"/>
      <c r="G341" s="5"/>
      <c r="H341" s="5"/>
      <c r="I341" s="92"/>
      <c r="J341" s="92"/>
      <c r="K341" s="92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>
      <c r="A342" s="5"/>
      <c r="B342" s="5"/>
      <c r="C342" s="5"/>
      <c r="D342" s="5"/>
      <c r="E342" s="5"/>
      <c r="F342" s="5"/>
      <c r="G342" s="5"/>
      <c r="H342" s="5"/>
      <c r="I342" s="92"/>
      <c r="J342" s="92"/>
      <c r="K342" s="92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>
      <c r="A343" s="5"/>
      <c r="B343" s="5"/>
      <c r="C343" s="5"/>
      <c r="D343" s="5"/>
      <c r="E343" s="5"/>
      <c r="F343" s="5"/>
      <c r="G343" s="5"/>
      <c r="H343" s="5"/>
      <c r="I343" s="92"/>
      <c r="J343" s="92"/>
      <c r="K343" s="92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>
      <c r="A344" s="5"/>
      <c r="B344" s="5"/>
      <c r="C344" s="5"/>
      <c r="D344" s="5"/>
      <c r="E344" s="5"/>
      <c r="F344" s="5"/>
      <c r="G344" s="5"/>
      <c r="H344" s="5"/>
      <c r="I344" s="92"/>
      <c r="J344" s="92"/>
      <c r="K344" s="92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>
      <c r="A345" s="5"/>
      <c r="B345" s="5"/>
      <c r="C345" s="5"/>
      <c r="D345" s="5"/>
      <c r="E345" s="5"/>
      <c r="F345" s="5"/>
      <c r="G345" s="5"/>
      <c r="H345" s="5"/>
      <c r="I345" s="92"/>
      <c r="J345" s="92"/>
      <c r="K345" s="92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>
      <c r="A346" s="5"/>
      <c r="B346" s="5"/>
      <c r="C346" s="5"/>
      <c r="D346" s="5"/>
      <c r="E346" s="5"/>
      <c r="F346" s="5"/>
      <c r="G346" s="5"/>
      <c r="H346" s="5"/>
      <c r="I346" s="92"/>
      <c r="J346" s="92"/>
      <c r="K346" s="92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>
      <c r="A347" s="5"/>
      <c r="B347" s="5"/>
      <c r="C347" s="5"/>
      <c r="D347" s="5"/>
      <c r="E347" s="5"/>
      <c r="F347" s="5"/>
      <c r="G347" s="5"/>
      <c r="H347" s="5"/>
      <c r="I347" s="92"/>
      <c r="J347" s="92"/>
      <c r="K347" s="92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>
      <c r="A348" s="5"/>
      <c r="B348" s="5"/>
      <c r="C348" s="5"/>
      <c r="D348" s="5"/>
      <c r="E348" s="5"/>
      <c r="F348" s="5"/>
      <c r="G348" s="5"/>
      <c r="H348" s="5"/>
      <c r="I348" s="92"/>
      <c r="J348" s="92"/>
      <c r="K348" s="92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>
      <c r="A349" s="5"/>
      <c r="B349" s="5"/>
      <c r="C349" s="5"/>
      <c r="D349" s="5"/>
      <c r="E349" s="5"/>
      <c r="F349" s="5"/>
      <c r="G349" s="5"/>
      <c r="H349" s="5"/>
      <c r="I349" s="92"/>
      <c r="J349" s="92"/>
      <c r="K349" s="92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>
      <c r="A350" s="5"/>
      <c r="B350" s="5"/>
      <c r="C350" s="5"/>
      <c r="D350" s="5"/>
      <c r="E350" s="5"/>
      <c r="F350" s="5"/>
      <c r="G350" s="5"/>
      <c r="H350" s="5"/>
      <c r="I350" s="92"/>
      <c r="J350" s="92"/>
      <c r="K350" s="92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>
      <c r="A351" s="5"/>
      <c r="B351" s="5"/>
      <c r="C351" s="5"/>
      <c r="D351" s="5"/>
      <c r="E351" s="5"/>
      <c r="F351" s="5"/>
      <c r="G351" s="5"/>
      <c r="H351" s="5"/>
      <c r="I351" s="92"/>
      <c r="J351" s="92"/>
      <c r="K351" s="92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>
      <c r="A352" s="5"/>
      <c r="B352" s="5"/>
      <c r="C352" s="5"/>
      <c r="D352" s="5"/>
      <c r="E352" s="5"/>
      <c r="F352" s="5"/>
      <c r="G352" s="5"/>
      <c r="H352" s="5"/>
      <c r="I352" s="92"/>
      <c r="J352" s="92"/>
      <c r="K352" s="92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>
      <c r="A353" s="5"/>
      <c r="B353" s="5"/>
      <c r="C353" s="5"/>
      <c r="D353" s="5"/>
      <c r="E353" s="5"/>
      <c r="F353" s="5"/>
      <c r="G353" s="5"/>
      <c r="H353" s="5"/>
      <c r="I353" s="92"/>
      <c r="J353" s="92"/>
      <c r="K353" s="92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>
      <c r="A354" s="5"/>
      <c r="B354" s="5"/>
      <c r="C354" s="5"/>
      <c r="D354" s="5"/>
      <c r="E354" s="5"/>
      <c r="F354" s="5"/>
      <c r="G354" s="5"/>
      <c r="H354" s="5"/>
      <c r="I354" s="92"/>
      <c r="J354" s="92"/>
      <c r="K354" s="92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>
      <c r="A355" s="5"/>
      <c r="B355" s="5"/>
      <c r="C355" s="5"/>
      <c r="D355" s="5"/>
      <c r="E355" s="5"/>
      <c r="F355" s="5"/>
      <c r="G355" s="5"/>
      <c r="H355" s="5"/>
      <c r="I355" s="92"/>
      <c r="J355" s="92"/>
      <c r="K355" s="92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>
      <c r="A356" s="5"/>
      <c r="B356" s="5"/>
      <c r="C356" s="5"/>
      <c r="D356" s="5"/>
      <c r="E356" s="5"/>
      <c r="F356" s="5"/>
      <c r="G356" s="5"/>
      <c r="H356" s="5"/>
      <c r="I356" s="92"/>
      <c r="J356" s="92"/>
      <c r="K356" s="92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>
      <c r="A357" s="5"/>
      <c r="B357" s="5"/>
      <c r="C357" s="5"/>
      <c r="D357" s="5"/>
      <c r="E357" s="5"/>
      <c r="F357" s="5"/>
      <c r="G357" s="5"/>
      <c r="H357" s="5"/>
      <c r="I357" s="92"/>
      <c r="J357" s="92"/>
      <c r="K357" s="92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>
      <c r="A358" s="5"/>
      <c r="B358" s="5"/>
      <c r="C358" s="5"/>
      <c r="D358" s="5"/>
      <c r="E358" s="5"/>
      <c r="F358" s="5"/>
      <c r="G358" s="5"/>
      <c r="H358" s="5"/>
      <c r="I358" s="92"/>
      <c r="J358" s="92"/>
      <c r="K358" s="92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>
      <c r="A359" s="5"/>
      <c r="B359" s="5"/>
      <c r="C359" s="5"/>
      <c r="D359" s="5"/>
      <c r="E359" s="5"/>
      <c r="F359" s="5"/>
      <c r="G359" s="5"/>
      <c r="H359" s="5"/>
      <c r="I359" s="92"/>
      <c r="J359" s="92"/>
      <c r="K359" s="92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>
      <c r="A360" s="5"/>
      <c r="B360" s="5"/>
      <c r="C360" s="5"/>
      <c r="D360" s="5"/>
      <c r="E360" s="5"/>
      <c r="F360" s="5"/>
      <c r="G360" s="5"/>
      <c r="H360" s="5"/>
      <c r="I360" s="92"/>
      <c r="J360" s="92"/>
      <c r="K360" s="92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>
      <c r="A361" s="5"/>
      <c r="B361" s="5"/>
      <c r="C361" s="5"/>
      <c r="D361" s="5"/>
      <c r="E361" s="5"/>
      <c r="F361" s="5"/>
      <c r="G361" s="5"/>
      <c r="H361" s="5"/>
      <c r="I361" s="92"/>
      <c r="J361" s="92"/>
      <c r="K361" s="92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>
      <c r="A362" s="5"/>
      <c r="B362" s="5"/>
      <c r="C362" s="5"/>
      <c r="D362" s="5"/>
      <c r="E362" s="5"/>
      <c r="F362" s="5"/>
      <c r="G362" s="5"/>
      <c r="H362" s="5"/>
      <c r="I362" s="92"/>
      <c r="J362" s="92"/>
      <c r="K362" s="92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>
      <c r="A363" s="5"/>
      <c r="B363" s="5"/>
      <c r="C363" s="5"/>
      <c r="D363" s="5"/>
      <c r="E363" s="5"/>
      <c r="F363" s="5"/>
      <c r="G363" s="5"/>
      <c r="H363" s="5"/>
      <c r="I363" s="92"/>
      <c r="J363" s="92"/>
      <c r="K363" s="92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>
      <c r="A364" s="5"/>
      <c r="B364" s="5"/>
      <c r="C364" s="5"/>
      <c r="D364" s="5"/>
      <c r="E364" s="5"/>
      <c r="F364" s="5"/>
      <c r="G364" s="5"/>
      <c r="H364" s="5"/>
      <c r="I364" s="92"/>
      <c r="J364" s="92"/>
      <c r="K364" s="92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>
      <c r="A365" s="5"/>
      <c r="B365" s="5"/>
      <c r="C365" s="5"/>
      <c r="D365" s="5"/>
      <c r="E365" s="5"/>
      <c r="F365" s="5"/>
      <c r="G365" s="5"/>
      <c r="H365" s="5"/>
      <c r="I365" s="92"/>
      <c r="J365" s="92"/>
      <c r="K365" s="92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>
      <c r="A366" s="5"/>
      <c r="B366" s="5"/>
      <c r="C366" s="5"/>
      <c r="D366" s="5"/>
      <c r="E366" s="5"/>
      <c r="F366" s="5"/>
      <c r="G366" s="5"/>
      <c r="H366" s="5"/>
      <c r="I366" s="92"/>
      <c r="J366" s="92"/>
      <c r="K366" s="92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>
      <c r="A367" s="5"/>
      <c r="B367" s="5"/>
      <c r="C367" s="5"/>
      <c r="D367" s="5"/>
      <c r="E367" s="5"/>
      <c r="F367" s="5"/>
      <c r="G367" s="5"/>
      <c r="H367" s="5"/>
      <c r="I367" s="92"/>
      <c r="J367" s="92"/>
      <c r="K367" s="92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>
      <c r="A368" s="5"/>
      <c r="B368" s="5"/>
      <c r="C368" s="5"/>
      <c r="D368" s="5"/>
      <c r="E368" s="5"/>
      <c r="F368" s="5"/>
      <c r="G368" s="5"/>
      <c r="H368" s="5"/>
      <c r="I368" s="92"/>
      <c r="J368" s="92"/>
      <c r="K368" s="92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>
      <c r="A369" s="5"/>
      <c r="B369" s="5"/>
      <c r="C369" s="5"/>
      <c r="D369" s="5"/>
      <c r="E369" s="5"/>
      <c r="F369" s="5"/>
      <c r="G369" s="5"/>
      <c r="H369" s="5"/>
      <c r="I369" s="92"/>
      <c r="J369" s="92"/>
      <c r="K369" s="92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>
      <c r="A370" s="5"/>
      <c r="B370" s="5"/>
      <c r="C370" s="5"/>
      <c r="D370" s="5"/>
      <c r="E370" s="5"/>
      <c r="F370" s="5"/>
      <c r="G370" s="5"/>
      <c r="H370" s="5"/>
      <c r="I370" s="92"/>
      <c r="J370" s="92"/>
      <c r="K370" s="92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>
      <c r="A371" s="5"/>
      <c r="B371" s="5"/>
      <c r="C371" s="5"/>
      <c r="D371" s="5"/>
      <c r="E371" s="5"/>
      <c r="F371" s="5"/>
      <c r="G371" s="5"/>
      <c r="H371" s="5"/>
      <c r="I371" s="92"/>
      <c r="J371" s="92"/>
      <c r="K371" s="92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>
      <c r="A372" s="5"/>
      <c r="B372" s="5"/>
      <c r="C372" s="5"/>
      <c r="D372" s="5"/>
      <c r="E372" s="5"/>
      <c r="F372" s="5"/>
      <c r="G372" s="5"/>
      <c r="H372" s="5"/>
      <c r="I372" s="92"/>
      <c r="J372" s="92"/>
      <c r="K372" s="92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>
      <c r="A373" s="5"/>
      <c r="B373" s="5"/>
      <c r="C373" s="5"/>
      <c r="D373" s="5"/>
      <c r="E373" s="5"/>
      <c r="F373" s="5"/>
      <c r="G373" s="5"/>
      <c r="H373" s="5"/>
      <c r="I373" s="92"/>
      <c r="J373" s="92"/>
      <c r="K373" s="92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>
      <c r="A374" s="5"/>
      <c r="B374" s="5"/>
      <c r="C374" s="5"/>
      <c r="D374" s="5"/>
      <c r="E374" s="5"/>
      <c r="F374" s="5"/>
      <c r="G374" s="5"/>
      <c r="H374" s="5"/>
      <c r="I374" s="92"/>
      <c r="J374" s="92"/>
      <c r="K374" s="92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>
      <c r="A375" s="5"/>
      <c r="B375" s="5"/>
      <c r="C375" s="5"/>
      <c r="D375" s="5"/>
      <c r="E375" s="5"/>
      <c r="F375" s="5"/>
      <c r="G375" s="5"/>
      <c r="H375" s="5"/>
      <c r="I375" s="92"/>
      <c r="J375" s="92"/>
      <c r="K375" s="92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>
      <c r="A376" s="5"/>
      <c r="B376" s="5"/>
      <c r="C376" s="5"/>
      <c r="D376" s="5"/>
      <c r="E376" s="5"/>
      <c r="F376" s="5"/>
      <c r="G376" s="5"/>
      <c r="H376" s="5"/>
      <c r="I376" s="92"/>
      <c r="J376" s="92"/>
      <c r="K376" s="92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>
      <c r="A377" s="5"/>
      <c r="B377" s="5"/>
      <c r="C377" s="5"/>
      <c r="D377" s="5"/>
      <c r="E377" s="5"/>
      <c r="F377" s="5"/>
      <c r="G377" s="5"/>
      <c r="H377" s="5"/>
      <c r="I377" s="92"/>
      <c r="J377" s="92"/>
      <c r="K377" s="92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>
      <c r="A378" s="5"/>
      <c r="B378" s="5"/>
      <c r="C378" s="5"/>
      <c r="D378" s="5"/>
      <c r="E378" s="5"/>
      <c r="F378" s="5"/>
      <c r="G378" s="5"/>
      <c r="H378" s="5"/>
      <c r="I378" s="92"/>
      <c r="J378" s="92"/>
      <c r="K378" s="92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>
      <c r="A379" s="5"/>
      <c r="B379" s="5"/>
      <c r="C379" s="5"/>
      <c r="D379" s="5"/>
      <c r="E379" s="5"/>
      <c r="F379" s="5"/>
      <c r="G379" s="5"/>
      <c r="H379" s="5"/>
      <c r="I379" s="92"/>
      <c r="J379" s="92"/>
      <c r="K379" s="92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>
      <c r="A380" s="5"/>
      <c r="B380" s="5"/>
      <c r="C380" s="5"/>
      <c r="D380" s="5"/>
      <c r="E380" s="5"/>
      <c r="F380" s="5"/>
      <c r="G380" s="5"/>
      <c r="H380" s="5"/>
      <c r="I380" s="92"/>
      <c r="J380" s="92"/>
      <c r="K380" s="92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>
      <c r="A381" s="5"/>
      <c r="B381" s="5"/>
      <c r="C381" s="5"/>
      <c r="D381" s="5"/>
      <c r="E381" s="5"/>
      <c r="F381" s="5"/>
      <c r="G381" s="5"/>
      <c r="H381" s="5"/>
      <c r="I381" s="92"/>
      <c r="J381" s="92"/>
      <c r="K381" s="92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>
      <c r="A382" s="5"/>
      <c r="B382" s="5"/>
      <c r="C382" s="5"/>
      <c r="D382" s="5"/>
      <c r="E382" s="5"/>
      <c r="F382" s="5"/>
      <c r="G382" s="5"/>
      <c r="H382" s="5"/>
      <c r="I382" s="92"/>
      <c r="J382" s="92"/>
      <c r="K382" s="92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>
      <c r="A383" s="5"/>
      <c r="B383" s="5"/>
      <c r="C383" s="5"/>
      <c r="D383" s="5"/>
      <c r="E383" s="5"/>
      <c r="F383" s="5"/>
      <c r="G383" s="5"/>
      <c r="H383" s="5"/>
      <c r="I383" s="92"/>
      <c r="J383" s="92"/>
      <c r="K383" s="92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>
      <c r="A384" s="5"/>
      <c r="B384" s="5"/>
      <c r="C384" s="5"/>
      <c r="D384" s="5"/>
      <c r="E384" s="5"/>
      <c r="F384" s="5"/>
      <c r="G384" s="5"/>
      <c r="H384" s="5"/>
      <c r="I384" s="92"/>
      <c r="J384" s="92"/>
      <c r="K384" s="92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>
      <c r="A385" s="5"/>
      <c r="B385" s="5"/>
      <c r="C385" s="5"/>
      <c r="D385" s="5"/>
      <c r="E385" s="5"/>
      <c r="F385" s="5"/>
      <c r="G385" s="5"/>
      <c r="H385" s="5"/>
      <c r="I385" s="92"/>
      <c r="J385" s="92"/>
      <c r="K385" s="92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>
      <c r="A386" s="5"/>
      <c r="B386" s="5"/>
      <c r="C386" s="5"/>
      <c r="D386" s="5"/>
      <c r="E386" s="5"/>
      <c r="F386" s="5"/>
      <c r="G386" s="5"/>
      <c r="H386" s="5"/>
      <c r="I386" s="92"/>
      <c r="J386" s="92"/>
      <c r="K386" s="92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>
      <c r="A387" s="5"/>
      <c r="B387" s="5"/>
      <c r="C387" s="5"/>
      <c r="D387" s="5"/>
      <c r="E387" s="5"/>
      <c r="F387" s="5"/>
      <c r="G387" s="5"/>
      <c r="H387" s="5"/>
      <c r="I387" s="92"/>
      <c r="J387" s="92"/>
      <c r="K387" s="92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>
      <c r="A388" s="5"/>
      <c r="B388" s="5"/>
      <c r="C388" s="5"/>
      <c r="D388" s="5"/>
      <c r="E388" s="5"/>
      <c r="F388" s="5"/>
      <c r="G388" s="5"/>
      <c r="H388" s="5"/>
      <c r="I388" s="92"/>
      <c r="J388" s="92"/>
      <c r="K388" s="92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>
      <c r="A389" s="5"/>
      <c r="B389" s="5"/>
      <c r="C389" s="5"/>
      <c r="D389" s="5"/>
      <c r="E389" s="5"/>
      <c r="F389" s="5"/>
      <c r="G389" s="5"/>
      <c r="H389" s="5"/>
      <c r="I389" s="92"/>
      <c r="J389" s="92"/>
      <c r="K389" s="92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>
      <c r="A390" s="5"/>
      <c r="B390" s="5"/>
      <c r="C390" s="5"/>
      <c r="D390" s="5"/>
      <c r="E390" s="5"/>
      <c r="F390" s="5"/>
      <c r="G390" s="5"/>
      <c r="H390" s="5"/>
      <c r="I390" s="92"/>
      <c r="J390" s="92"/>
      <c r="K390" s="92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>
      <c r="A391" s="5"/>
      <c r="B391" s="5"/>
      <c r="C391" s="5"/>
      <c r="D391" s="5"/>
      <c r="E391" s="5"/>
      <c r="F391" s="5"/>
      <c r="G391" s="5"/>
      <c r="H391" s="5"/>
      <c r="I391" s="92"/>
      <c r="J391" s="92"/>
      <c r="K391" s="92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>
      <c r="A392" s="5"/>
      <c r="B392" s="5"/>
      <c r="C392" s="5"/>
      <c r="D392" s="5"/>
      <c r="E392" s="5"/>
      <c r="F392" s="5"/>
      <c r="G392" s="5"/>
      <c r="H392" s="5"/>
      <c r="I392" s="92"/>
      <c r="J392" s="92"/>
      <c r="K392" s="92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>
      <c r="A393" s="5"/>
      <c r="B393" s="5"/>
      <c r="C393" s="5"/>
      <c r="D393" s="5"/>
      <c r="E393" s="5"/>
      <c r="F393" s="5"/>
      <c r="G393" s="5"/>
      <c r="H393" s="5"/>
      <c r="I393" s="92"/>
      <c r="J393" s="92"/>
      <c r="K393" s="92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>
      <c r="A394" s="5"/>
      <c r="B394" s="5"/>
      <c r="C394" s="5"/>
      <c r="D394" s="5"/>
      <c r="E394" s="5"/>
      <c r="F394" s="5"/>
      <c r="G394" s="5"/>
      <c r="H394" s="5"/>
      <c r="I394" s="92"/>
      <c r="J394" s="92"/>
      <c r="K394" s="92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>
      <c r="A395" s="5"/>
      <c r="B395" s="5"/>
      <c r="C395" s="5"/>
      <c r="D395" s="5"/>
      <c r="E395" s="5"/>
      <c r="F395" s="5"/>
      <c r="G395" s="5"/>
      <c r="H395" s="5"/>
      <c r="I395" s="92"/>
      <c r="J395" s="92"/>
      <c r="K395" s="92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>
      <c r="A396" s="5"/>
      <c r="B396" s="5"/>
      <c r="C396" s="5"/>
      <c r="D396" s="5"/>
      <c r="E396" s="5"/>
      <c r="F396" s="5"/>
      <c r="G396" s="5"/>
      <c r="H396" s="5"/>
      <c r="I396" s="92"/>
      <c r="J396" s="92"/>
      <c r="K396" s="92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>
      <c r="A397" s="5"/>
      <c r="B397" s="5"/>
      <c r="C397" s="5"/>
      <c r="D397" s="5"/>
      <c r="E397" s="5"/>
      <c r="F397" s="5"/>
      <c r="G397" s="5"/>
      <c r="H397" s="5"/>
      <c r="I397" s="92"/>
      <c r="J397" s="92"/>
      <c r="K397" s="92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>
      <c r="A398" s="5"/>
      <c r="B398" s="5"/>
      <c r="C398" s="5"/>
      <c r="D398" s="5"/>
      <c r="E398" s="5"/>
      <c r="F398" s="5"/>
      <c r="G398" s="5"/>
      <c r="H398" s="5"/>
      <c r="I398" s="92"/>
      <c r="J398" s="92"/>
      <c r="K398" s="92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>
      <c r="A399" s="5"/>
      <c r="B399" s="5"/>
      <c r="C399" s="5"/>
      <c r="D399" s="5"/>
      <c r="E399" s="5"/>
      <c r="F399" s="5"/>
      <c r="G399" s="5"/>
      <c r="H399" s="5"/>
      <c r="I399" s="92"/>
      <c r="J399" s="92"/>
      <c r="K399" s="92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>
      <c r="A400" s="5"/>
      <c r="B400" s="5"/>
      <c r="C400" s="5"/>
      <c r="D400" s="5"/>
      <c r="E400" s="5"/>
      <c r="F400" s="5"/>
      <c r="G400" s="5"/>
      <c r="H400" s="5"/>
      <c r="I400" s="92"/>
      <c r="J400" s="92"/>
      <c r="K400" s="92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>
      <c r="A401" s="5"/>
      <c r="B401" s="5"/>
      <c r="C401" s="5"/>
      <c r="D401" s="5"/>
      <c r="E401" s="5"/>
      <c r="F401" s="5"/>
      <c r="G401" s="5"/>
      <c r="H401" s="5"/>
      <c r="I401" s="92"/>
      <c r="J401" s="92"/>
      <c r="K401" s="92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>
      <c r="A402" s="5"/>
      <c r="B402" s="5"/>
      <c r="C402" s="5"/>
      <c r="D402" s="5"/>
      <c r="E402" s="5"/>
      <c r="F402" s="5"/>
      <c r="G402" s="5"/>
      <c r="H402" s="5"/>
      <c r="I402" s="92"/>
      <c r="J402" s="92"/>
      <c r="K402" s="92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>
      <c r="A403" s="5"/>
      <c r="B403" s="5"/>
      <c r="C403" s="5"/>
      <c r="D403" s="5"/>
      <c r="E403" s="5"/>
      <c r="F403" s="5"/>
      <c r="G403" s="5"/>
      <c r="H403" s="5"/>
      <c r="I403" s="92"/>
      <c r="J403" s="92"/>
      <c r="K403" s="92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>
      <c r="A404" s="5"/>
      <c r="B404" s="5"/>
      <c r="C404" s="5"/>
      <c r="D404" s="5"/>
      <c r="E404" s="5"/>
      <c r="F404" s="5"/>
      <c r="G404" s="5"/>
      <c r="H404" s="5"/>
      <c r="I404" s="92"/>
      <c r="J404" s="92"/>
      <c r="K404" s="92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>
      <c r="A405" s="5"/>
      <c r="B405" s="5"/>
      <c r="C405" s="5"/>
      <c r="D405" s="5"/>
      <c r="E405" s="5"/>
      <c r="F405" s="5"/>
      <c r="G405" s="5"/>
      <c r="H405" s="5"/>
      <c r="I405" s="92"/>
      <c r="J405" s="92"/>
      <c r="K405" s="92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>
      <c r="A406" s="5"/>
      <c r="B406" s="5"/>
      <c r="C406" s="5"/>
      <c r="D406" s="5"/>
      <c r="E406" s="5"/>
      <c r="F406" s="5"/>
      <c r="G406" s="5"/>
      <c r="H406" s="5"/>
      <c r="I406" s="92"/>
      <c r="J406" s="92"/>
      <c r="K406" s="92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>
      <c r="A407" s="5"/>
      <c r="B407" s="5"/>
      <c r="C407" s="5"/>
      <c r="D407" s="5"/>
      <c r="E407" s="5"/>
      <c r="F407" s="5"/>
      <c r="G407" s="5"/>
      <c r="H407" s="5"/>
      <c r="I407" s="92"/>
      <c r="J407" s="92"/>
      <c r="K407" s="92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>
      <c r="A408" s="5"/>
      <c r="B408" s="5"/>
      <c r="C408" s="5"/>
      <c r="D408" s="5"/>
      <c r="E408" s="5"/>
      <c r="F408" s="5"/>
      <c r="G408" s="5"/>
      <c r="H408" s="5"/>
      <c r="I408" s="92"/>
      <c r="J408" s="92"/>
      <c r="K408" s="92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>
      <c r="A409" s="5"/>
      <c r="B409" s="5"/>
      <c r="C409" s="5"/>
      <c r="D409" s="5"/>
      <c r="E409" s="5"/>
      <c r="F409" s="5"/>
      <c r="G409" s="5"/>
      <c r="H409" s="5"/>
      <c r="I409" s="92"/>
      <c r="J409" s="92"/>
      <c r="K409" s="92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>
      <c r="A410" s="5"/>
      <c r="B410" s="5"/>
      <c r="C410" s="5"/>
      <c r="D410" s="5"/>
      <c r="E410" s="5"/>
      <c r="F410" s="5"/>
      <c r="G410" s="5"/>
      <c r="H410" s="5"/>
      <c r="I410" s="92"/>
      <c r="J410" s="92"/>
      <c r="K410" s="92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>
      <c r="A411" s="5"/>
      <c r="B411" s="5"/>
      <c r="C411" s="5"/>
      <c r="D411" s="5"/>
      <c r="E411" s="5"/>
      <c r="F411" s="5"/>
      <c r="G411" s="5"/>
      <c r="H411" s="5"/>
      <c r="I411" s="92"/>
      <c r="J411" s="92"/>
      <c r="K411" s="92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>
      <c r="A412" s="5"/>
      <c r="B412" s="5"/>
      <c r="C412" s="5"/>
      <c r="D412" s="5"/>
      <c r="E412" s="5"/>
      <c r="F412" s="5"/>
      <c r="G412" s="5"/>
      <c r="H412" s="5"/>
      <c r="I412" s="92"/>
      <c r="J412" s="92"/>
      <c r="K412" s="92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>
      <c r="A413" s="5"/>
      <c r="B413" s="5"/>
      <c r="C413" s="5"/>
      <c r="D413" s="5"/>
      <c r="E413" s="5"/>
      <c r="F413" s="5"/>
      <c r="G413" s="5"/>
      <c r="H413" s="5"/>
      <c r="I413" s="92"/>
      <c r="J413" s="92"/>
      <c r="K413" s="92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>
      <c r="A414" s="5"/>
      <c r="B414" s="5"/>
      <c r="C414" s="5"/>
      <c r="D414" s="5"/>
      <c r="E414" s="5"/>
      <c r="F414" s="5"/>
      <c r="G414" s="5"/>
      <c r="H414" s="5"/>
      <c r="I414" s="92"/>
      <c r="J414" s="92"/>
      <c r="K414" s="92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>
      <c r="A415" s="5"/>
      <c r="B415" s="5"/>
      <c r="C415" s="5"/>
      <c r="D415" s="5"/>
      <c r="E415" s="5"/>
      <c r="F415" s="5"/>
      <c r="G415" s="5"/>
      <c r="H415" s="5"/>
      <c r="I415" s="92"/>
      <c r="J415" s="92"/>
      <c r="K415" s="92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>
      <c r="A416" s="5"/>
      <c r="B416" s="5"/>
      <c r="C416" s="5"/>
      <c r="D416" s="5"/>
      <c r="E416" s="5"/>
      <c r="F416" s="5"/>
      <c r="G416" s="5"/>
      <c r="H416" s="5"/>
      <c r="I416" s="92"/>
      <c r="J416" s="92"/>
      <c r="K416" s="92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>
      <c r="A417" s="5"/>
      <c r="B417" s="5"/>
      <c r="C417" s="5"/>
      <c r="D417" s="5"/>
      <c r="E417" s="5"/>
      <c r="F417" s="5"/>
      <c r="G417" s="5"/>
      <c r="H417" s="5"/>
      <c r="I417" s="92"/>
      <c r="J417" s="92"/>
      <c r="K417" s="92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>
      <c r="A418" s="5"/>
      <c r="B418" s="5"/>
      <c r="C418" s="5"/>
      <c r="D418" s="5"/>
      <c r="E418" s="5"/>
      <c r="F418" s="5"/>
      <c r="G418" s="5"/>
      <c r="H418" s="5"/>
      <c r="I418" s="92"/>
      <c r="J418" s="92"/>
      <c r="K418" s="92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>
      <c r="A419" s="5"/>
      <c r="B419" s="5"/>
      <c r="C419" s="5"/>
      <c r="D419" s="5"/>
      <c r="E419" s="5"/>
      <c r="F419" s="5"/>
      <c r="G419" s="5"/>
      <c r="H419" s="5"/>
      <c r="I419" s="92"/>
      <c r="J419" s="92"/>
      <c r="K419" s="92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>
      <c r="A420" s="5"/>
      <c r="B420" s="5"/>
      <c r="C420" s="5"/>
      <c r="D420" s="5"/>
      <c r="E420" s="5"/>
      <c r="F420" s="5"/>
      <c r="G420" s="5"/>
      <c r="H420" s="5"/>
      <c r="I420" s="92"/>
      <c r="J420" s="92"/>
      <c r="K420" s="92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>
      <c r="A421" s="5"/>
      <c r="B421" s="5"/>
      <c r="C421" s="5"/>
      <c r="D421" s="5"/>
      <c r="E421" s="5"/>
      <c r="F421" s="5"/>
      <c r="G421" s="5"/>
      <c r="H421" s="5"/>
      <c r="I421" s="92"/>
      <c r="J421" s="92"/>
      <c r="K421" s="92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>
      <c r="A422" s="5"/>
      <c r="B422" s="5"/>
      <c r="C422" s="5"/>
      <c r="D422" s="5"/>
      <c r="E422" s="5"/>
      <c r="F422" s="5"/>
      <c r="G422" s="5"/>
      <c r="H422" s="5"/>
      <c r="I422" s="92"/>
      <c r="J422" s="92"/>
      <c r="K422" s="92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>
      <c r="A423" s="5"/>
      <c r="B423" s="5"/>
      <c r="C423" s="5"/>
      <c r="D423" s="5"/>
      <c r="E423" s="5"/>
      <c r="F423" s="5"/>
      <c r="G423" s="5"/>
      <c r="H423" s="5"/>
      <c r="I423" s="92"/>
      <c r="J423" s="92"/>
      <c r="K423" s="92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>
      <c r="A424" s="5"/>
      <c r="B424" s="5"/>
      <c r="C424" s="5"/>
      <c r="D424" s="5"/>
      <c r="E424" s="5"/>
      <c r="F424" s="5"/>
      <c r="G424" s="5"/>
      <c r="H424" s="5"/>
      <c r="I424" s="92"/>
      <c r="J424" s="92"/>
      <c r="K424" s="92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>
      <c r="A425" s="5"/>
      <c r="B425" s="5"/>
      <c r="C425" s="5"/>
      <c r="D425" s="5"/>
      <c r="E425" s="5"/>
      <c r="F425" s="5"/>
      <c r="G425" s="5"/>
      <c r="H425" s="5"/>
      <c r="I425" s="92"/>
      <c r="J425" s="92"/>
      <c r="K425" s="92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>
      <c r="A426" s="5"/>
      <c r="B426" s="5"/>
      <c r="C426" s="5"/>
      <c r="D426" s="5"/>
      <c r="E426" s="5"/>
      <c r="F426" s="5"/>
      <c r="G426" s="5"/>
      <c r="H426" s="5"/>
      <c r="I426" s="92"/>
      <c r="J426" s="92"/>
      <c r="K426" s="92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>
      <c r="A427" s="5"/>
      <c r="B427" s="5"/>
      <c r="C427" s="5"/>
      <c r="D427" s="5"/>
      <c r="E427" s="5"/>
      <c r="F427" s="5"/>
      <c r="G427" s="5"/>
      <c r="H427" s="5"/>
      <c r="I427" s="92"/>
      <c r="J427" s="92"/>
      <c r="K427" s="92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>
      <c r="A428" s="5"/>
      <c r="B428" s="5"/>
      <c r="C428" s="5"/>
      <c r="D428" s="5"/>
      <c r="E428" s="5"/>
      <c r="F428" s="5"/>
      <c r="G428" s="5"/>
      <c r="H428" s="5"/>
      <c r="I428" s="92"/>
      <c r="J428" s="92"/>
      <c r="K428" s="92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>
      <c r="A429" s="5"/>
      <c r="B429" s="5"/>
      <c r="C429" s="5"/>
      <c r="D429" s="5"/>
      <c r="E429" s="5"/>
      <c r="F429" s="5"/>
      <c r="G429" s="5"/>
      <c r="H429" s="5"/>
      <c r="I429" s="92"/>
      <c r="J429" s="92"/>
      <c r="K429" s="92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>
      <c r="A430" s="5"/>
      <c r="B430" s="5"/>
      <c r="C430" s="5"/>
      <c r="D430" s="5"/>
      <c r="E430" s="5"/>
      <c r="F430" s="5"/>
      <c r="G430" s="5"/>
      <c r="H430" s="5"/>
      <c r="I430" s="92"/>
      <c r="J430" s="92"/>
      <c r="K430" s="92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>
      <c r="A431" s="5"/>
      <c r="B431" s="5"/>
      <c r="C431" s="5"/>
      <c r="D431" s="5"/>
      <c r="E431" s="5"/>
      <c r="F431" s="5"/>
      <c r="G431" s="5"/>
      <c r="H431" s="5"/>
      <c r="I431" s="92"/>
      <c r="J431" s="92"/>
      <c r="K431" s="92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>
      <c r="A432" s="5"/>
      <c r="B432" s="5"/>
      <c r="C432" s="5"/>
      <c r="D432" s="5"/>
      <c r="E432" s="5"/>
      <c r="F432" s="5"/>
      <c r="G432" s="5"/>
      <c r="H432" s="5"/>
      <c r="I432" s="92"/>
      <c r="J432" s="92"/>
      <c r="K432" s="92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>
      <c r="A433" s="5"/>
      <c r="B433" s="5"/>
      <c r="C433" s="5"/>
      <c r="D433" s="5"/>
      <c r="E433" s="5"/>
      <c r="F433" s="5"/>
      <c r="G433" s="5"/>
      <c r="H433" s="5"/>
      <c r="I433" s="92"/>
      <c r="J433" s="92"/>
      <c r="K433" s="92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>
      <c r="A434" s="5"/>
      <c r="B434" s="5"/>
      <c r="C434" s="5"/>
      <c r="D434" s="5"/>
      <c r="E434" s="5"/>
      <c r="F434" s="5"/>
      <c r="G434" s="5"/>
      <c r="H434" s="5"/>
      <c r="I434" s="92"/>
      <c r="J434" s="92"/>
      <c r="K434" s="92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>
      <c r="A435" s="5"/>
      <c r="B435" s="5"/>
      <c r="C435" s="5"/>
      <c r="D435" s="5"/>
      <c r="E435" s="5"/>
      <c r="F435" s="5"/>
      <c r="G435" s="5"/>
      <c r="H435" s="5"/>
      <c r="I435" s="92"/>
      <c r="J435" s="92"/>
      <c r="K435" s="92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>
      <c r="A436" s="5"/>
      <c r="B436" s="5"/>
      <c r="C436" s="5"/>
      <c r="D436" s="5"/>
      <c r="E436" s="5"/>
      <c r="F436" s="5"/>
      <c r="G436" s="5"/>
      <c r="H436" s="5"/>
      <c r="I436" s="92"/>
      <c r="J436" s="92"/>
      <c r="K436" s="92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>
      <c r="A437" s="5"/>
      <c r="B437" s="5"/>
      <c r="C437" s="5"/>
      <c r="D437" s="5"/>
      <c r="E437" s="5"/>
      <c r="F437" s="5"/>
      <c r="G437" s="5"/>
      <c r="H437" s="5"/>
      <c r="I437" s="92"/>
      <c r="J437" s="92"/>
      <c r="K437" s="92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>
      <c r="A438" s="5"/>
      <c r="B438" s="5"/>
      <c r="C438" s="5"/>
      <c r="D438" s="5"/>
      <c r="E438" s="5"/>
      <c r="F438" s="5"/>
      <c r="G438" s="5"/>
      <c r="H438" s="5"/>
      <c r="I438" s="92"/>
      <c r="J438" s="92"/>
      <c r="K438" s="92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>
      <c r="A439" s="5"/>
      <c r="B439" s="5"/>
      <c r="C439" s="5"/>
      <c r="D439" s="5"/>
      <c r="E439" s="5"/>
      <c r="F439" s="5"/>
      <c r="G439" s="5"/>
      <c r="H439" s="5"/>
      <c r="I439" s="92"/>
      <c r="J439" s="92"/>
      <c r="K439" s="92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>
      <c r="A440" s="5"/>
      <c r="B440" s="5"/>
      <c r="C440" s="5"/>
      <c r="D440" s="5"/>
      <c r="E440" s="5"/>
      <c r="F440" s="5"/>
      <c r="G440" s="5"/>
      <c r="H440" s="5"/>
      <c r="I440" s="92"/>
      <c r="J440" s="92"/>
      <c r="K440" s="92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>
      <c r="A441" s="5"/>
      <c r="B441" s="5"/>
      <c r="C441" s="5"/>
      <c r="D441" s="5"/>
      <c r="E441" s="5"/>
      <c r="F441" s="5"/>
      <c r="G441" s="5"/>
      <c r="H441" s="5"/>
      <c r="I441" s="92"/>
      <c r="J441" s="92"/>
      <c r="K441" s="92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>
      <c r="A442" s="5"/>
      <c r="B442" s="5"/>
      <c r="C442" s="5"/>
      <c r="D442" s="5"/>
      <c r="E442" s="5"/>
      <c r="F442" s="5"/>
      <c r="G442" s="5"/>
      <c r="H442" s="5"/>
      <c r="I442" s="92"/>
      <c r="J442" s="92"/>
      <c r="K442" s="92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>
      <c r="A443" s="5"/>
      <c r="B443" s="5"/>
      <c r="C443" s="5"/>
      <c r="D443" s="5"/>
      <c r="E443" s="5"/>
      <c r="F443" s="5"/>
      <c r="G443" s="5"/>
      <c r="H443" s="5"/>
      <c r="I443" s="92"/>
      <c r="J443" s="92"/>
      <c r="K443" s="92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>
      <c r="A444" s="5"/>
      <c r="B444" s="5"/>
      <c r="C444" s="5"/>
      <c r="D444" s="5"/>
      <c r="E444" s="5"/>
      <c r="F444" s="5"/>
      <c r="G444" s="5"/>
      <c r="H444" s="5"/>
      <c r="I444" s="92"/>
      <c r="J444" s="92"/>
      <c r="K444" s="92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>
      <c r="A445" s="5"/>
      <c r="B445" s="5"/>
      <c r="C445" s="5"/>
      <c r="D445" s="5"/>
      <c r="E445" s="5"/>
      <c r="F445" s="5"/>
      <c r="G445" s="5"/>
      <c r="H445" s="5"/>
      <c r="I445" s="92"/>
      <c r="J445" s="92"/>
      <c r="K445" s="92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>
      <c r="A446" s="5"/>
      <c r="B446" s="5"/>
      <c r="C446" s="5"/>
      <c r="D446" s="5"/>
      <c r="E446" s="5"/>
      <c r="F446" s="5"/>
      <c r="G446" s="5"/>
      <c r="H446" s="5"/>
      <c r="I446" s="92"/>
      <c r="J446" s="92"/>
      <c r="K446" s="92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>
      <c r="A447" s="5"/>
      <c r="B447" s="5"/>
      <c r="C447" s="5"/>
      <c r="D447" s="5"/>
      <c r="E447" s="5"/>
      <c r="F447" s="5"/>
      <c r="G447" s="5"/>
      <c r="H447" s="5"/>
      <c r="I447" s="92"/>
      <c r="J447" s="92"/>
      <c r="K447" s="92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>
      <c r="A448" s="5"/>
      <c r="B448" s="5"/>
      <c r="C448" s="5"/>
      <c r="D448" s="5"/>
      <c r="E448" s="5"/>
      <c r="F448" s="5"/>
      <c r="G448" s="5"/>
      <c r="H448" s="5"/>
      <c r="I448" s="92"/>
      <c r="J448" s="92"/>
      <c r="K448" s="92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>
      <c r="A449" s="5"/>
      <c r="B449" s="5"/>
      <c r="C449" s="5"/>
      <c r="D449" s="5"/>
      <c r="E449" s="5"/>
      <c r="F449" s="5"/>
      <c r="G449" s="5"/>
      <c r="H449" s="5"/>
      <c r="I449" s="92"/>
      <c r="J449" s="92"/>
      <c r="K449" s="92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>
      <c r="A450" s="5"/>
      <c r="B450" s="5"/>
      <c r="C450" s="5"/>
      <c r="D450" s="5"/>
      <c r="E450" s="5"/>
      <c r="F450" s="5"/>
      <c r="G450" s="5"/>
      <c r="H450" s="5"/>
      <c r="I450" s="92"/>
      <c r="J450" s="92"/>
      <c r="K450" s="92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>
      <c r="A451" s="5"/>
      <c r="B451" s="5"/>
      <c r="C451" s="5"/>
      <c r="D451" s="5"/>
      <c r="E451" s="5"/>
      <c r="F451" s="5"/>
      <c r="G451" s="5"/>
      <c r="H451" s="5"/>
      <c r="I451" s="92"/>
      <c r="J451" s="92"/>
      <c r="K451" s="92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>
      <c r="A452" s="5"/>
      <c r="B452" s="5"/>
      <c r="C452" s="5"/>
      <c r="D452" s="5"/>
      <c r="E452" s="5"/>
      <c r="F452" s="5"/>
      <c r="G452" s="5"/>
      <c r="H452" s="5"/>
      <c r="I452" s="92"/>
      <c r="J452" s="92"/>
      <c r="K452" s="92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>
      <c r="A453" s="5"/>
      <c r="B453" s="5"/>
      <c r="C453" s="5"/>
      <c r="D453" s="5"/>
      <c r="E453" s="5"/>
      <c r="F453" s="5"/>
      <c r="G453" s="5"/>
      <c r="H453" s="5"/>
      <c r="I453" s="92"/>
      <c r="J453" s="92"/>
      <c r="K453" s="92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>
      <c r="A454" s="5"/>
      <c r="B454" s="5"/>
      <c r="C454" s="5"/>
      <c r="D454" s="5"/>
      <c r="E454" s="5"/>
      <c r="F454" s="5"/>
      <c r="G454" s="5"/>
      <c r="H454" s="5"/>
      <c r="I454" s="92"/>
      <c r="J454" s="92"/>
      <c r="K454" s="92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>
      <c r="A455" s="5"/>
      <c r="B455" s="5"/>
      <c r="C455" s="5"/>
      <c r="D455" s="5"/>
      <c r="E455" s="5"/>
      <c r="F455" s="5"/>
      <c r="G455" s="5"/>
      <c r="H455" s="5"/>
      <c r="I455" s="92"/>
      <c r="J455" s="92"/>
      <c r="K455" s="92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>
      <c r="A456" s="5"/>
      <c r="B456" s="5"/>
      <c r="C456" s="5"/>
      <c r="D456" s="5"/>
      <c r="E456" s="5"/>
      <c r="F456" s="5"/>
      <c r="G456" s="5"/>
      <c r="H456" s="5"/>
      <c r="I456" s="92"/>
      <c r="J456" s="92"/>
      <c r="K456" s="92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>
      <c r="A457" s="5"/>
      <c r="B457" s="5"/>
      <c r="C457" s="5"/>
      <c r="D457" s="5"/>
      <c r="E457" s="5"/>
      <c r="F457" s="5"/>
      <c r="G457" s="5"/>
      <c r="H457" s="5"/>
      <c r="I457" s="92"/>
      <c r="J457" s="92"/>
      <c r="K457" s="92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>
      <c r="A458" s="5"/>
      <c r="B458" s="5"/>
      <c r="C458" s="5"/>
      <c r="D458" s="5"/>
      <c r="E458" s="5"/>
      <c r="F458" s="5"/>
      <c r="G458" s="5"/>
      <c r="H458" s="5"/>
      <c r="I458" s="92"/>
      <c r="J458" s="92"/>
      <c r="K458" s="92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>
      <c r="A459" s="5"/>
      <c r="B459" s="5"/>
      <c r="C459" s="5"/>
      <c r="D459" s="5"/>
      <c r="E459" s="5"/>
      <c r="F459" s="5"/>
      <c r="G459" s="5"/>
      <c r="H459" s="5"/>
      <c r="I459" s="92"/>
      <c r="J459" s="92"/>
      <c r="K459" s="92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>
      <c r="A460" s="5"/>
      <c r="B460" s="5"/>
      <c r="C460" s="5"/>
      <c r="D460" s="5"/>
      <c r="E460" s="5"/>
      <c r="F460" s="5"/>
      <c r="G460" s="5"/>
      <c r="H460" s="5"/>
      <c r="I460" s="92"/>
      <c r="J460" s="92"/>
      <c r="K460" s="92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>
      <c r="A461" s="5"/>
      <c r="B461" s="5"/>
      <c r="C461" s="5"/>
      <c r="D461" s="5"/>
      <c r="E461" s="5"/>
      <c r="F461" s="5"/>
      <c r="G461" s="5"/>
      <c r="H461" s="5"/>
      <c r="I461" s="92"/>
      <c r="J461" s="92"/>
      <c r="K461" s="92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>
      <c r="A462" s="5"/>
      <c r="B462" s="5"/>
      <c r="C462" s="5"/>
      <c r="D462" s="5"/>
      <c r="E462" s="5"/>
      <c r="F462" s="5"/>
      <c r="G462" s="5"/>
      <c r="H462" s="5"/>
      <c r="I462" s="92"/>
      <c r="J462" s="92"/>
      <c r="K462" s="92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>
      <c r="A463" s="5"/>
      <c r="B463" s="5"/>
      <c r="C463" s="5"/>
      <c r="D463" s="5"/>
      <c r="E463" s="5"/>
      <c r="F463" s="5"/>
      <c r="G463" s="5"/>
      <c r="H463" s="5"/>
      <c r="I463" s="92"/>
      <c r="J463" s="92"/>
      <c r="K463" s="92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>
      <c r="A464" s="5"/>
      <c r="B464" s="5"/>
      <c r="C464" s="5"/>
      <c r="D464" s="5"/>
      <c r="E464" s="5"/>
      <c r="F464" s="5"/>
      <c r="G464" s="5"/>
      <c r="H464" s="5"/>
      <c r="I464" s="92"/>
      <c r="J464" s="92"/>
      <c r="K464" s="92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>
      <c r="A465" s="5"/>
      <c r="B465" s="5"/>
      <c r="C465" s="5"/>
      <c r="D465" s="5"/>
      <c r="E465" s="5"/>
      <c r="F465" s="5"/>
      <c r="G465" s="5"/>
      <c r="H465" s="5"/>
      <c r="I465" s="92"/>
      <c r="J465" s="92"/>
      <c r="K465" s="92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>
      <c r="A466" s="5"/>
      <c r="B466" s="5"/>
      <c r="C466" s="5"/>
      <c r="D466" s="5"/>
      <c r="E466" s="5"/>
      <c r="F466" s="5"/>
      <c r="G466" s="5"/>
      <c r="H466" s="5"/>
      <c r="I466" s="92"/>
      <c r="J466" s="92"/>
      <c r="K466" s="92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>
      <c r="A467" s="5"/>
      <c r="B467" s="5"/>
      <c r="C467" s="5"/>
      <c r="D467" s="5"/>
      <c r="E467" s="5"/>
      <c r="F467" s="5"/>
      <c r="G467" s="5"/>
      <c r="H467" s="5"/>
      <c r="I467" s="92"/>
      <c r="J467" s="92"/>
      <c r="K467" s="92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>
      <c r="A468" s="5"/>
      <c r="B468" s="5"/>
      <c r="C468" s="5"/>
      <c r="D468" s="5"/>
      <c r="E468" s="5"/>
      <c r="F468" s="5"/>
      <c r="G468" s="5"/>
      <c r="H468" s="5"/>
      <c r="I468" s="92"/>
      <c r="J468" s="92"/>
      <c r="K468" s="92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>
      <c r="A469" s="5"/>
      <c r="B469" s="5"/>
      <c r="C469" s="5"/>
      <c r="D469" s="5"/>
      <c r="E469" s="5"/>
      <c r="F469" s="5"/>
      <c r="G469" s="5"/>
      <c r="H469" s="5"/>
      <c r="I469" s="92"/>
      <c r="J469" s="92"/>
      <c r="K469" s="92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>
      <c r="A470" s="5"/>
      <c r="B470" s="5"/>
      <c r="C470" s="5"/>
      <c r="D470" s="5"/>
      <c r="E470" s="5"/>
      <c r="F470" s="5"/>
      <c r="G470" s="5"/>
      <c r="H470" s="5"/>
      <c r="I470" s="92"/>
      <c r="J470" s="92"/>
      <c r="K470" s="92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>
      <c r="A471" s="5"/>
      <c r="B471" s="5"/>
      <c r="C471" s="5"/>
      <c r="D471" s="5"/>
      <c r="E471" s="5"/>
      <c r="F471" s="5"/>
      <c r="G471" s="5"/>
      <c r="H471" s="5"/>
      <c r="I471" s="92"/>
      <c r="J471" s="92"/>
      <c r="K471" s="92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>
      <c r="A472" s="5"/>
      <c r="B472" s="5"/>
      <c r="C472" s="5"/>
      <c r="D472" s="5"/>
      <c r="E472" s="5"/>
      <c r="F472" s="5"/>
      <c r="G472" s="5"/>
      <c r="H472" s="5"/>
      <c r="I472" s="92"/>
      <c r="J472" s="92"/>
      <c r="K472" s="92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>
      <c r="A473" s="5"/>
      <c r="B473" s="5"/>
      <c r="C473" s="5"/>
      <c r="D473" s="5"/>
      <c r="E473" s="5"/>
      <c r="F473" s="5"/>
      <c r="G473" s="5"/>
      <c r="H473" s="5"/>
      <c r="I473" s="92"/>
      <c r="J473" s="92"/>
      <c r="K473" s="92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>
      <c r="A474" s="5"/>
      <c r="B474" s="5"/>
      <c r="C474" s="5"/>
      <c r="D474" s="5"/>
      <c r="E474" s="5"/>
      <c r="F474" s="5"/>
      <c r="G474" s="5"/>
      <c r="H474" s="5"/>
      <c r="I474" s="92"/>
      <c r="J474" s="92"/>
      <c r="K474" s="92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>
      <c r="A475" s="5"/>
      <c r="B475" s="5"/>
      <c r="C475" s="5"/>
      <c r="D475" s="5"/>
      <c r="E475" s="5"/>
      <c r="F475" s="5"/>
      <c r="G475" s="5"/>
      <c r="H475" s="5"/>
      <c r="I475" s="92"/>
      <c r="J475" s="92"/>
      <c r="K475" s="92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>
      <c r="A476" s="5"/>
      <c r="B476" s="5"/>
      <c r="C476" s="5"/>
      <c r="D476" s="5"/>
      <c r="E476" s="5"/>
      <c r="F476" s="5"/>
      <c r="G476" s="5"/>
      <c r="H476" s="5"/>
      <c r="I476" s="92"/>
      <c r="J476" s="92"/>
      <c r="K476" s="92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>
      <c r="A477" s="5"/>
      <c r="B477" s="5"/>
      <c r="C477" s="5"/>
      <c r="D477" s="5"/>
      <c r="E477" s="5"/>
      <c r="F477" s="5"/>
      <c r="G477" s="5"/>
      <c r="H477" s="5"/>
      <c r="I477" s="92"/>
      <c r="J477" s="92"/>
      <c r="K477" s="92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>
      <c r="A478" s="5"/>
      <c r="B478" s="5"/>
      <c r="C478" s="5"/>
      <c r="D478" s="5"/>
      <c r="E478" s="5"/>
      <c r="F478" s="5"/>
      <c r="G478" s="5"/>
      <c r="H478" s="5"/>
      <c r="I478" s="92"/>
      <c r="J478" s="92"/>
      <c r="K478" s="92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>
      <c r="A479" s="5"/>
      <c r="B479" s="5"/>
      <c r="C479" s="5"/>
      <c r="D479" s="5"/>
      <c r="E479" s="5"/>
      <c r="F479" s="5"/>
      <c r="G479" s="5"/>
      <c r="H479" s="5"/>
      <c r="I479" s="92"/>
      <c r="J479" s="92"/>
      <c r="K479" s="92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>
      <c r="A480" s="5"/>
      <c r="B480" s="5"/>
      <c r="C480" s="5"/>
      <c r="D480" s="5"/>
      <c r="E480" s="5"/>
      <c r="F480" s="5"/>
      <c r="G480" s="5"/>
      <c r="H480" s="5"/>
      <c r="I480" s="92"/>
      <c r="J480" s="92"/>
      <c r="K480" s="92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>
      <c r="A481" s="5"/>
      <c r="B481" s="5"/>
      <c r="C481" s="5"/>
      <c r="D481" s="5"/>
      <c r="E481" s="5"/>
      <c r="F481" s="5"/>
      <c r="G481" s="5"/>
      <c r="H481" s="5"/>
      <c r="I481" s="92"/>
      <c r="J481" s="92"/>
      <c r="K481" s="92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>
      <c r="A482" s="5"/>
      <c r="B482" s="5"/>
      <c r="C482" s="5"/>
      <c r="D482" s="5"/>
      <c r="E482" s="5"/>
      <c r="F482" s="5"/>
      <c r="G482" s="5"/>
      <c r="H482" s="5"/>
      <c r="I482" s="92"/>
      <c r="J482" s="92"/>
      <c r="K482" s="92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>
      <c r="A483" s="5"/>
      <c r="B483" s="5"/>
      <c r="C483" s="5"/>
      <c r="D483" s="5"/>
      <c r="E483" s="5"/>
      <c r="F483" s="5"/>
      <c r="G483" s="5"/>
      <c r="H483" s="5"/>
      <c r="I483" s="92"/>
      <c r="J483" s="92"/>
      <c r="K483" s="92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>
      <c r="A484" s="5"/>
      <c r="B484" s="5"/>
      <c r="C484" s="5"/>
      <c r="D484" s="5"/>
      <c r="E484" s="5"/>
      <c r="F484" s="5"/>
      <c r="G484" s="5"/>
      <c r="H484" s="5"/>
      <c r="I484" s="92"/>
      <c r="J484" s="92"/>
      <c r="K484" s="92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>
      <c r="A485" s="5"/>
      <c r="B485" s="5"/>
      <c r="C485" s="5"/>
      <c r="D485" s="5"/>
      <c r="E485" s="5"/>
      <c r="F485" s="5"/>
      <c r="G485" s="5"/>
      <c r="H485" s="5"/>
      <c r="I485" s="92"/>
      <c r="J485" s="92"/>
      <c r="K485" s="92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>
      <c r="A486" s="5"/>
      <c r="B486" s="5"/>
      <c r="C486" s="5"/>
      <c r="D486" s="5"/>
      <c r="E486" s="5"/>
      <c r="F486" s="5"/>
      <c r="G486" s="5"/>
      <c r="H486" s="5"/>
      <c r="I486" s="92"/>
      <c r="J486" s="92"/>
      <c r="K486" s="92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>
      <c r="A487" s="5"/>
      <c r="B487" s="5"/>
      <c r="C487" s="5"/>
      <c r="D487" s="5"/>
      <c r="E487" s="5"/>
      <c r="F487" s="5"/>
      <c r="G487" s="5"/>
      <c r="H487" s="5"/>
      <c r="I487" s="92"/>
      <c r="J487" s="92"/>
      <c r="K487" s="92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>
      <c r="A488" s="5"/>
      <c r="B488" s="5"/>
      <c r="C488" s="5"/>
      <c r="D488" s="5"/>
      <c r="E488" s="5"/>
      <c r="F488" s="5"/>
      <c r="G488" s="5"/>
      <c r="H488" s="5"/>
      <c r="I488" s="92"/>
      <c r="J488" s="92"/>
      <c r="K488" s="92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>
      <c r="A489" s="5"/>
      <c r="B489" s="5"/>
      <c r="C489" s="5"/>
      <c r="D489" s="5"/>
      <c r="E489" s="5"/>
      <c r="F489" s="5"/>
      <c r="G489" s="5"/>
      <c r="H489" s="5"/>
      <c r="I489" s="92"/>
      <c r="J489" s="92"/>
      <c r="K489" s="92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>
      <c r="A490" s="5"/>
      <c r="B490" s="5"/>
      <c r="C490" s="5"/>
      <c r="D490" s="5"/>
      <c r="E490" s="5"/>
      <c r="F490" s="5"/>
      <c r="G490" s="5"/>
      <c r="H490" s="5"/>
      <c r="I490" s="92"/>
      <c r="J490" s="92"/>
      <c r="K490" s="92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>
      <c r="A491" s="5"/>
      <c r="B491" s="5"/>
      <c r="C491" s="5"/>
      <c r="D491" s="5"/>
      <c r="E491" s="5"/>
      <c r="F491" s="5"/>
      <c r="G491" s="5"/>
      <c r="H491" s="5"/>
      <c r="I491" s="92"/>
      <c r="J491" s="92"/>
      <c r="K491" s="92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>
      <c r="A492" s="5"/>
      <c r="B492" s="5"/>
      <c r="C492" s="5"/>
      <c r="D492" s="5"/>
      <c r="E492" s="5"/>
      <c r="F492" s="5"/>
      <c r="G492" s="5"/>
      <c r="H492" s="5"/>
      <c r="I492" s="92"/>
      <c r="J492" s="92"/>
      <c r="K492" s="92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>
      <c r="A493" s="5"/>
      <c r="B493" s="5"/>
      <c r="C493" s="5"/>
      <c r="D493" s="5"/>
      <c r="E493" s="5"/>
      <c r="F493" s="5"/>
      <c r="G493" s="5"/>
      <c r="H493" s="5"/>
      <c r="I493" s="92"/>
      <c r="J493" s="92"/>
      <c r="K493" s="92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>
      <c r="A494" s="5"/>
      <c r="B494" s="5"/>
      <c r="C494" s="5"/>
      <c r="D494" s="5"/>
      <c r="E494" s="5"/>
      <c r="F494" s="5"/>
      <c r="G494" s="5"/>
      <c r="H494" s="5"/>
      <c r="I494" s="92"/>
      <c r="J494" s="92"/>
      <c r="K494" s="92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>
      <c r="A495" s="5"/>
      <c r="B495" s="5"/>
      <c r="C495" s="5"/>
      <c r="D495" s="5"/>
      <c r="E495" s="5"/>
      <c r="F495" s="5"/>
      <c r="G495" s="5"/>
      <c r="H495" s="5"/>
      <c r="I495" s="92"/>
      <c r="J495" s="92"/>
      <c r="K495" s="92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>
      <c r="A496" s="5"/>
      <c r="B496" s="5"/>
      <c r="C496" s="5"/>
      <c r="D496" s="5"/>
      <c r="E496" s="5"/>
      <c r="F496" s="5"/>
      <c r="G496" s="5"/>
      <c r="H496" s="5"/>
      <c r="I496" s="92"/>
      <c r="J496" s="92"/>
      <c r="K496" s="92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>
      <c r="A497" s="5"/>
      <c r="B497" s="5"/>
      <c r="C497" s="5"/>
      <c r="D497" s="5"/>
      <c r="E497" s="5"/>
      <c r="F497" s="5"/>
      <c r="G497" s="5"/>
      <c r="H497" s="5"/>
      <c r="I497" s="92"/>
      <c r="J497" s="92"/>
      <c r="K497" s="92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>
      <c r="A498" s="5"/>
      <c r="B498" s="5"/>
      <c r="C498" s="5"/>
      <c r="D498" s="5"/>
      <c r="E498" s="5"/>
      <c r="F498" s="5"/>
      <c r="G498" s="5"/>
      <c r="H498" s="5"/>
      <c r="I498" s="92"/>
      <c r="J498" s="92"/>
      <c r="K498" s="92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>
      <c r="A499" s="5"/>
      <c r="B499" s="5"/>
      <c r="C499" s="5"/>
      <c r="D499" s="5"/>
      <c r="E499" s="5"/>
      <c r="F499" s="5"/>
      <c r="G499" s="5"/>
      <c r="H499" s="5"/>
      <c r="I499" s="92"/>
      <c r="J499" s="92"/>
      <c r="K499" s="92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>
      <c r="A500" s="5"/>
      <c r="B500" s="5"/>
      <c r="C500" s="5"/>
      <c r="D500" s="5"/>
      <c r="E500" s="5"/>
      <c r="F500" s="5"/>
      <c r="G500" s="5"/>
      <c r="H500" s="5"/>
      <c r="I500" s="92"/>
      <c r="J500" s="92"/>
      <c r="K500" s="92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>
      <c r="A501" s="5"/>
      <c r="B501" s="5"/>
      <c r="C501" s="5"/>
      <c r="D501" s="5"/>
      <c r="E501" s="5"/>
      <c r="F501" s="5"/>
      <c r="G501" s="5"/>
      <c r="H501" s="5"/>
      <c r="I501" s="92"/>
      <c r="J501" s="92"/>
      <c r="K501" s="92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>
      <c r="A502" s="5"/>
      <c r="B502" s="5"/>
      <c r="C502" s="5"/>
      <c r="D502" s="5"/>
      <c r="E502" s="5"/>
      <c r="F502" s="5"/>
      <c r="G502" s="5"/>
      <c r="H502" s="5"/>
      <c r="I502" s="92"/>
      <c r="J502" s="92"/>
      <c r="K502" s="92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>
      <c r="A503" s="5"/>
      <c r="B503" s="5"/>
      <c r="C503" s="5"/>
      <c r="D503" s="5"/>
      <c r="E503" s="5"/>
      <c r="F503" s="5"/>
      <c r="G503" s="5"/>
      <c r="H503" s="5"/>
      <c r="I503" s="92"/>
      <c r="J503" s="92"/>
      <c r="K503" s="92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>
      <c r="A504" s="5"/>
      <c r="B504" s="5"/>
      <c r="C504" s="5"/>
      <c r="D504" s="5"/>
      <c r="E504" s="5"/>
      <c r="F504" s="5"/>
      <c r="G504" s="5"/>
      <c r="H504" s="5"/>
      <c r="I504" s="92"/>
      <c r="J504" s="92"/>
      <c r="K504" s="92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>
      <c r="A505" s="5"/>
      <c r="B505" s="5"/>
      <c r="C505" s="5"/>
      <c r="D505" s="5"/>
      <c r="E505" s="5"/>
      <c r="F505" s="5"/>
      <c r="G505" s="5"/>
      <c r="H505" s="5"/>
      <c r="I505" s="92"/>
      <c r="J505" s="92"/>
      <c r="K505" s="92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>
      <c r="A506" s="5"/>
      <c r="B506" s="5"/>
      <c r="C506" s="5"/>
      <c r="D506" s="5"/>
      <c r="E506" s="5"/>
      <c r="F506" s="5"/>
      <c r="G506" s="5"/>
      <c r="H506" s="5"/>
      <c r="I506" s="92"/>
      <c r="J506" s="92"/>
      <c r="K506" s="92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>
      <c r="A507" s="5"/>
      <c r="B507" s="5"/>
      <c r="C507" s="5"/>
      <c r="D507" s="5"/>
      <c r="E507" s="5"/>
      <c r="F507" s="5"/>
      <c r="G507" s="5"/>
      <c r="H507" s="5"/>
      <c r="I507" s="92"/>
      <c r="J507" s="92"/>
      <c r="K507" s="92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>
      <c r="A508" s="5"/>
      <c r="B508" s="5"/>
      <c r="C508" s="5"/>
      <c r="D508" s="5"/>
      <c r="E508" s="5"/>
      <c r="F508" s="5"/>
      <c r="G508" s="5"/>
      <c r="H508" s="5"/>
      <c r="I508" s="92"/>
      <c r="J508" s="92"/>
      <c r="K508" s="92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>
      <c r="A509" s="5"/>
      <c r="B509" s="5"/>
      <c r="C509" s="5"/>
      <c r="D509" s="5"/>
      <c r="E509" s="5"/>
      <c r="F509" s="5"/>
      <c r="G509" s="5"/>
      <c r="H509" s="5"/>
      <c r="I509" s="92"/>
      <c r="J509" s="92"/>
      <c r="K509" s="92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>
      <c r="A510" s="5"/>
      <c r="B510" s="5"/>
      <c r="C510" s="5"/>
      <c r="D510" s="5"/>
      <c r="E510" s="5"/>
      <c r="F510" s="5"/>
      <c r="G510" s="5"/>
      <c r="H510" s="5"/>
      <c r="I510" s="92"/>
      <c r="J510" s="92"/>
      <c r="K510" s="92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>
      <c r="A511" s="5"/>
      <c r="B511" s="5"/>
      <c r="C511" s="5"/>
      <c r="D511" s="5"/>
      <c r="E511" s="5"/>
      <c r="F511" s="5"/>
      <c r="G511" s="5"/>
      <c r="H511" s="5"/>
      <c r="I511" s="92"/>
      <c r="J511" s="92"/>
      <c r="K511" s="92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>
      <c r="A512" s="5"/>
      <c r="B512" s="5"/>
      <c r="C512" s="5"/>
      <c r="D512" s="5"/>
      <c r="E512" s="5"/>
      <c r="F512" s="5"/>
      <c r="G512" s="5"/>
      <c r="H512" s="5"/>
      <c r="I512" s="92"/>
      <c r="J512" s="92"/>
      <c r="K512" s="92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>
      <c r="A513" s="5"/>
      <c r="B513" s="5"/>
      <c r="C513" s="5"/>
      <c r="D513" s="5"/>
      <c r="E513" s="5"/>
      <c r="F513" s="5"/>
      <c r="G513" s="5"/>
      <c r="H513" s="5"/>
      <c r="I513" s="92"/>
      <c r="J513" s="92"/>
      <c r="K513" s="92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>
      <c r="A514" s="5"/>
      <c r="B514" s="5"/>
      <c r="C514" s="5"/>
      <c r="D514" s="5"/>
      <c r="E514" s="5"/>
      <c r="F514" s="5"/>
      <c r="G514" s="5"/>
      <c r="H514" s="5"/>
      <c r="I514" s="92"/>
      <c r="J514" s="92"/>
      <c r="K514" s="92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>
      <c r="A515" s="5"/>
      <c r="B515" s="5"/>
      <c r="C515" s="5"/>
      <c r="D515" s="5"/>
      <c r="E515" s="5"/>
      <c r="F515" s="5"/>
      <c r="G515" s="5"/>
      <c r="H515" s="5"/>
      <c r="I515" s="92"/>
      <c r="J515" s="92"/>
      <c r="K515" s="92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>
      <c r="A516" s="5"/>
      <c r="B516" s="5"/>
      <c r="C516" s="5"/>
      <c r="D516" s="5"/>
      <c r="E516" s="5"/>
      <c r="F516" s="5"/>
      <c r="G516" s="5"/>
      <c r="H516" s="5"/>
      <c r="I516" s="92"/>
      <c r="J516" s="92"/>
      <c r="K516" s="92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>
      <c r="A517" s="5"/>
      <c r="B517" s="5"/>
      <c r="C517" s="5"/>
      <c r="D517" s="5"/>
      <c r="E517" s="5"/>
      <c r="F517" s="5"/>
      <c r="G517" s="5"/>
      <c r="H517" s="5"/>
      <c r="I517" s="92"/>
      <c r="J517" s="92"/>
      <c r="K517" s="92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>
      <c r="A518" s="5"/>
      <c r="B518" s="5"/>
      <c r="C518" s="5"/>
      <c r="D518" s="5"/>
      <c r="E518" s="5"/>
      <c r="F518" s="5"/>
      <c r="G518" s="5"/>
      <c r="H518" s="5"/>
      <c r="I518" s="92"/>
      <c r="J518" s="92"/>
      <c r="K518" s="92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>
      <c r="A519" s="5"/>
      <c r="B519" s="5"/>
      <c r="C519" s="5"/>
      <c r="D519" s="5"/>
      <c r="E519" s="5"/>
      <c r="F519" s="5"/>
      <c r="G519" s="5"/>
      <c r="H519" s="5"/>
      <c r="I519" s="92"/>
      <c r="J519" s="92"/>
      <c r="K519" s="92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>
      <c r="A520" s="5"/>
      <c r="B520" s="5"/>
      <c r="C520" s="5"/>
      <c r="D520" s="5"/>
      <c r="E520" s="5"/>
      <c r="F520" s="5"/>
      <c r="G520" s="5"/>
      <c r="H520" s="5"/>
      <c r="I520" s="92"/>
      <c r="J520" s="92"/>
      <c r="K520" s="92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>
      <c r="A521" s="5"/>
      <c r="B521" s="5"/>
      <c r="C521" s="5"/>
      <c r="D521" s="5"/>
      <c r="E521" s="5"/>
      <c r="F521" s="5"/>
      <c r="G521" s="5"/>
      <c r="H521" s="5"/>
      <c r="I521" s="92"/>
      <c r="J521" s="92"/>
      <c r="K521" s="92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>
      <c r="A522" s="5"/>
      <c r="B522" s="5"/>
      <c r="C522" s="5"/>
      <c r="D522" s="5"/>
      <c r="E522" s="5"/>
      <c r="F522" s="5"/>
      <c r="G522" s="5"/>
      <c r="H522" s="5"/>
      <c r="I522" s="92"/>
      <c r="J522" s="92"/>
      <c r="K522" s="92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>
      <c r="A523" s="5"/>
      <c r="B523" s="5"/>
      <c r="C523" s="5"/>
      <c r="D523" s="5"/>
      <c r="E523" s="5"/>
      <c r="F523" s="5"/>
      <c r="G523" s="5"/>
      <c r="H523" s="5"/>
      <c r="I523" s="92"/>
      <c r="J523" s="92"/>
      <c r="K523" s="92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>
      <c r="A524" s="5"/>
      <c r="B524" s="5"/>
      <c r="C524" s="5"/>
      <c r="D524" s="5"/>
      <c r="E524" s="5"/>
      <c r="F524" s="5"/>
      <c r="G524" s="5"/>
      <c r="H524" s="5"/>
      <c r="I524" s="92"/>
      <c r="J524" s="92"/>
      <c r="K524" s="92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>
      <c r="A525" s="5"/>
      <c r="B525" s="5"/>
      <c r="C525" s="5"/>
      <c r="D525" s="5"/>
      <c r="E525" s="5"/>
      <c r="F525" s="5"/>
      <c r="G525" s="5"/>
      <c r="H525" s="5"/>
      <c r="I525" s="92"/>
      <c r="J525" s="92"/>
      <c r="K525" s="92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>
      <c r="A526" s="5"/>
      <c r="B526" s="5"/>
      <c r="C526" s="5"/>
      <c r="D526" s="5"/>
      <c r="E526" s="5"/>
      <c r="F526" s="5"/>
      <c r="G526" s="5"/>
      <c r="H526" s="5"/>
      <c r="I526" s="92"/>
      <c r="J526" s="92"/>
      <c r="K526" s="92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>
      <c r="A527" s="5"/>
      <c r="B527" s="5"/>
      <c r="C527" s="5"/>
      <c r="D527" s="5"/>
      <c r="E527" s="5"/>
      <c r="F527" s="5"/>
      <c r="G527" s="5"/>
      <c r="H527" s="5"/>
      <c r="I527" s="92"/>
      <c r="J527" s="92"/>
      <c r="K527" s="92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>
      <c r="A528" s="5"/>
      <c r="B528" s="5"/>
      <c r="C528" s="5"/>
      <c r="D528" s="5"/>
      <c r="E528" s="5"/>
      <c r="F528" s="5"/>
      <c r="G528" s="5"/>
      <c r="H528" s="5"/>
      <c r="I528" s="92"/>
      <c r="J528" s="92"/>
      <c r="K528" s="92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>
      <c r="A529" s="5"/>
      <c r="B529" s="5"/>
      <c r="C529" s="5"/>
      <c r="D529" s="5"/>
      <c r="E529" s="5"/>
      <c r="F529" s="5"/>
      <c r="G529" s="5"/>
      <c r="H529" s="5"/>
      <c r="I529" s="92"/>
      <c r="J529" s="92"/>
      <c r="K529" s="92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>
      <c r="A530" s="5"/>
      <c r="B530" s="5"/>
      <c r="C530" s="5"/>
      <c r="D530" s="5"/>
      <c r="E530" s="5"/>
      <c r="F530" s="5"/>
      <c r="G530" s="5"/>
      <c r="H530" s="5"/>
      <c r="I530" s="92"/>
      <c r="J530" s="92"/>
      <c r="K530" s="92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>
      <c r="A531" s="5"/>
      <c r="B531" s="5"/>
      <c r="C531" s="5"/>
      <c r="D531" s="5"/>
      <c r="E531" s="5"/>
      <c r="F531" s="5"/>
      <c r="G531" s="5"/>
      <c r="H531" s="5"/>
      <c r="I531" s="92"/>
      <c r="J531" s="92"/>
      <c r="K531" s="92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>
      <c r="A532" s="5"/>
      <c r="B532" s="5"/>
      <c r="C532" s="5"/>
      <c r="D532" s="5"/>
      <c r="E532" s="5"/>
      <c r="F532" s="5"/>
      <c r="G532" s="5"/>
      <c r="H532" s="5"/>
      <c r="I532" s="92"/>
      <c r="J532" s="92"/>
      <c r="K532" s="92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>
      <c r="A533" s="5"/>
      <c r="B533" s="5"/>
      <c r="C533" s="5"/>
      <c r="D533" s="5"/>
      <c r="E533" s="5"/>
      <c r="F533" s="5"/>
      <c r="G533" s="5"/>
      <c r="H533" s="5"/>
      <c r="I533" s="92"/>
      <c r="J533" s="92"/>
      <c r="K533" s="92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>
      <c r="A534" s="5"/>
      <c r="B534" s="5"/>
      <c r="C534" s="5"/>
      <c r="D534" s="5"/>
      <c r="E534" s="5"/>
      <c r="F534" s="5"/>
      <c r="G534" s="5"/>
      <c r="H534" s="5"/>
      <c r="I534" s="92"/>
      <c r="J534" s="92"/>
      <c r="K534" s="92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>
      <c r="A535" s="5"/>
      <c r="B535" s="5"/>
      <c r="C535" s="5"/>
      <c r="D535" s="5"/>
      <c r="E535" s="5"/>
      <c r="F535" s="5"/>
      <c r="G535" s="5"/>
      <c r="H535" s="5"/>
      <c r="I535" s="92"/>
      <c r="J535" s="92"/>
      <c r="K535" s="92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>
      <c r="A536" s="5"/>
      <c r="B536" s="5"/>
      <c r="C536" s="5"/>
      <c r="D536" s="5"/>
      <c r="E536" s="5"/>
      <c r="F536" s="5"/>
      <c r="G536" s="5"/>
      <c r="H536" s="5"/>
      <c r="I536" s="92"/>
      <c r="J536" s="92"/>
      <c r="K536" s="92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>
      <c r="A537" s="5"/>
      <c r="B537" s="5"/>
      <c r="C537" s="5"/>
      <c r="D537" s="5"/>
      <c r="E537" s="5"/>
      <c r="F537" s="5"/>
      <c r="G537" s="5"/>
      <c r="H537" s="5"/>
      <c r="I537" s="92"/>
      <c r="J537" s="92"/>
      <c r="K537" s="92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>
      <c r="A538" s="5"/>
      <c r="B538" s="5"/>
      <c r="C538" s="5"/>
      <c r="D538" s="5"/>
      <c r="E538" s="5"/>
      <c r="F538" s="5"/>
      <c r="G538" s="5"/>
      <c r="H538" s="5"/>
      <c r="I538" s="92"/>
      <c r="J538" s="92"/>
      <c r="K538" s="92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>
      <c r="A539" s="5"/>
      <c r="B539" s="5"/>
      <c r="C539" s="5"/>
      <c r="D539" s="5"/>
      <c r="E539" s="5"/>
      <c r="F539" s="5"/>
      <c r="G539" s="5"/>
      <c r="H539" s="5"/>
      <c r="I539" s="92"/>
      <c r="J539" s="92"/>
      <c r="K539" s="92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>
      <c r="A540" s="5"/>
      <c r="B540" s="5"/>
      <c r="C540" s="5"/>
      <c r="D540" s="5"/>
      <c r="E540" s="5"/>
      <c r="F540" s="5"/>
      <c r="G540" s="5"/>
      <c r="H540" s="5"/>
      <c r="I540" s="92"/>
      <c r="J540" s="92"/>
      <c r="K540" s="92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>
      <c r="A541" s="5"/>
      <c r="B541" s="5"/>
      <c r="C541" s="5"/>
      <c r="D541" s="5"/>
      <c r="E541" s="5"/>
      <c r="F541" s="5"/>
      <c r="G541" s="5"/>
      <c r="H541" s="5"/>
      <c r="I541" s="92"/>
      <c r="J541" s="92"/>
      <c r="K541" s="92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>
      <c r="A542" s="5"/>
      <c r="B542" s="5"/>
      <c r="C542" s="5"/>
      <c r="D542" s="5"/>
      <c r="E542" s="5"/>
      <c r="F542" s="5"/>
      <c r="G542" s="5"/>
      <c r="H542" s="5"/>
      <c r="I542" s="92"/>
      <c r="J542" s="92"/>
      <c r="K542" s="92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>
      <c r="A543" s="5"/>
      <c r="B543" s="5"/>
      <c r="C543" s="5"/>
      <c r="D543" s="5"/>
      <c r="E543" s="5"/>
      <c r="F543" s="5"/>
      <c r="G543" s="5"/>
      <c r="H543" s="5"/>
      <c r="I543" s="92"/>
      <c r="J543" s="92"/>
      <c r="K543" s="92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>
      <c r="A544" s="5"/>
      <c r="B544" s="5"/>
      <c r="C544" s="5"/>
      <c r="D544" s="5"/>
      <c r="E544" s="5"/>
      <c r="F544" s="5"/>
      <c r="G544" s="5"/>
      <c r="H544" s="5"/>
      <c r="I544" s="92"/>
      <c r="J544" s="92"/>
      <c r="K544" s="92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>
      <c r="A545" s="5"/>
      <c r="B545" s="5"/>
      <c r="C545" s="5"/>
      <c r="D545" s="5"/>
      <c r="E545" s="5"/>
      <c r="F545" s="5"/>
      <c r="G545" s="5"/>
      <c r="H545" s="5"/>
      <c r="I545" s="92"/>
      <c r="J545" s="92"/>
      <c r="K545" s="92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>
      <c r="A546" s="5"/>
      <c r="B546" s="5"/>
      <c r="C546" s="5"/>
      <c r="D546" s="5"/>
      <c r="E546" s="5"/>
      <c r="F546" s="5"/>
      <c r="G546" s="5"/>
      <c r="H546" s="5"/>
      <c r="I546" s="92"/>
      <c r="J546" s="92"/>
      <c r="K546" s="92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>
      <c r="A547" s="5"/>
      <c r="B547" s="5"/>
      <c r="C547" s="5"/>
      <c r="D547" s="5"/>
      <c r="E547" s="5"/>
      <c r="F547" s="5"/>
      <c r="G547" s="5"/>
      <c r="H547" s="5"/>
      <c r="I547" s="92"/>
      <c r="J547" s="92"/>
      <c r="K547" s="92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>
      <c r="A548" s="5"/>
      <c r="B548" s="5"/>
      <c r="C548" s="5"/>
      <c r="D548" s="5"/>
      <c r="E548" s="5"/>
      <c r="F548" s="5"/>
      <c r="G548" s="5"/>
      <c r="H548" s="5"/>
      <c r="I548" s="92"/>
      <c r="J548" s="92"/>
      <c r="K548" s="92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>
      <c r="A549" s="5"/>
      <c r="B549" s="5"/>
      <c r="C549" s="5"/>
      <c r="D549" s="5"/>
      <c r="E549" s="5"/>
      <c r="F549" s="5"/>
      <c r="G549" s="5"/>
      <c r="H549" s="5"/>
      <c r="I549" s="92"/>
      <c r="J549" s="92"/>
      <c r="K549" s="92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>
      <c r="A550" s="5"/>
      <c r="B550" s="5"/>
      <c r="C550" s="5"/>
      <c r="D550" s="5"/>
      <c r="E550" s="5"/>
      <c r="F550" s="5"/>
      <c r="G550" s="5"/>
      <c r="H550" s="5"/>
      <c r="I550" s="92"/>
      <c r="J550" s="92"/>
      <c r="K550" s="92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>
      <c r="A551" s="5"/>
      <c r="B551" s="5"/>
      <c r="C551" s="5"/>
      <c r="D551" s="5"/>
      <c r="E551" s="5"/>
      <c r="F551" s="5"/>
      <c r="G551" s="5"/>
      <c r="H551" s="5"/>
      <c r="I551" s="92"/>
      <c r="J551" s="92"/>
      <c r="K551" s="92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>
      <c r="A552" s="5"/>
      <c r="B552" s="5"/>
      <c r="C552" s="5"/>
      <c r="D552" s="5"/>
      <c r="E552" s="5"/>
      <c r="F552" s="5"/>
      <c r="G552" s="5"/>
      <c r="H552" s="5"/>
      <c r="I552" s="92"/>
      <c r="J552" s="92"/>
      <c r="K552" s="92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>
      <c r="A553" s="5"/>
      <c r="B553" s="5"/>
      <c r="C553" s="5"/>
      <c r="D553" s="5"/>
      <c r="E553" s="5"/>
      <c r="F553" s="5"/>
      <c r="G553" s="5"/>
      <c r="H553" s="5"/>
      <c r="I553" s="92"/>
      <c r="J553" s="92"/>
      <c r="K553" s="92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>
      <c r="A554" s="5"/>
      <c r="B554" s="5"/>
      <c r="C554" s="5"/>
      <c r="D554" s="5"/>
      <c r="E554" s="5"/>
      <c r="F554" s="5"/>
      <c r="G554" s="5"/>
      <c r="H554" s="5"/>
      <c r="I554" s="92"/>
      <c r="J554" s="92"/>
      <c r="K554" s="92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>
      <c r="A555" s="5"/>
      <c r="B555" s="5"/>
      <c r="C555" s="5"/>
      <c r="D555" s="5"/>
      <c r="E555" s="5"/>
      <c r="F555" s="5"/>
      <c r="G555" s="5"/>
      <c r="H555" s="5"/>
      <c r="I555" s="92"/>
      <c r="J555" s="92"/>
      <c r="K555" s="92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>
      <c r="A556" s="5"/>
      <c r="B556" s="5"/>
      <c r="C556" s="5"/>
      <c r="D556" s="5"/>
      <c r="E556" s="5"/>
      <c r="F556" s="5"/>
      <c r="G556" s="5"/>
      <c r="H556" s="5"/>
      <c r="I556" s="92"/>
      <c r="J556" s="92"/>
      <c r="K556" s="92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>
      <c r="A557" s="5"/>
      <c r="B557" s="5"/>
      <c r="C557" s="5"/>
      <c r="D557" s="5"/>
      <c r="E557" s="5"/>
      <c r="F557" s="5"/>
      <c r="G557" s="5"/>
      <c r="H557" s="5"/>
      <c r="I557" s="92"/>
      <c r="J557" s="92"/>
      <c r="K557" s="92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>
      <c r="A558" s="5"/>
      <c r="B558" s="5"/>
      <c r="C558" s="5"/>
      <c r="D558" s="5"/>
      <c r="E558" s="5"/>
      <c r="F558" s="5"/>
      <c r="G558" s="5"/>
      <c r="H558" s="5"/>
      <c r="I558" s="92"/>
      <c r="J558" s="92"/>
      <c r="K558" s="92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>
      <c r="A559" s="5"/>
      <c r="B559" s="5"/>
      <c r="C559" s="5"/>
      <c r="D559" s="5"/>
      <c r="E559" s="5"/>
      <c r="F559" s="5"/>
      <c r="G559" s="5"/>
      <c r="H559" s="5"/>
      <c r="I559" s="92"/>
      <c r="J559" s="92"/>
      <c r="K559" s="92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>
      <c r="A560" s="5"/>
      <c r="B560" s="5"/>
      <c r="C560" s="5"/>
      <c r="D560" s="5"/>
      <c r="E560" s="5"/>
      <c r="F560" s="5"/>
      <c r="G560" s="5"/>
      <c r="H560" s="5"/>
      <c r="I560" s="92"/>
      <c r="J560" s="92"/>
      <c r="K560" s="92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>
      <c r="A561" s="5"/>
      <c r="B561" s="5"/>
      <c r="C561" s="5"/>
      <c r="D561" s="5"/>
      <c r="E561" s="5"/>
      <c r="F561" s="5"/>
      <c r="G561" s="5"/>
      <c r="H561" s="5"/>
      <c r="I561" s="92"/>
      <c r="J561" s="92"/>
      <c r="K561" s="92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>
      <c r="A562" s="5"/>
      <c r="B562" s="5"/>
      <c r="C562" s="5"/>
      <c r="D562" s="5"/>
      <c r="E562" s="5"/>
      <c r="F562" s="5"/>
      <c r="G562" s="5"/>
      <c r="H562" s="5"/>
      <c r="I562" s="92"/>
      <c r="J562" s="92"/>
      <c r="K562" s="92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>
      <c r="A563" s="5"/>
      <c r="B563" s="5"/>
      <c r="C563" s="5"/>
      <c r="D563" s="5"/>
      <c r="E563" s="5"/>
      <c r="F563" s="5"/>
      <c r="G563" s="5"/>
      <c r="H563" s="5"/>
      <c r="I563" s="92"/>
      <c r="J563" s="92"/>
      <c r="K563" s="92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>
      <c r="A564" s="5"/>
      <c r="B564" s="5"/>
      <c r="C564" s="5"/>
      <c r="D564" s="5"/>
      <c r="E564" s="5"/>
      <c r="F564" s="5"/>
      <c r="G564" s="5"/>
      <c r="H564" s="5"/>
      <c r="I564" s="92"/>
      <c r="J564" s="92"/>
      <c r="K564" s="92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>
      <c r="A565" s="5"/>
      <c r="B565" s="5"/>
      <c r="C565" s="5"/>
      <c r="D565" s="5"/>
      <c r="E565" s="5"/>
      <c r="F565" s="5"/>
      <c r="G565" s="5"/>
      <c r="H565" s="5"/>
      <c r="I565" s="92"/>
      <c r="J565" s="92"/>
      <c r="K565" s="92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>
      <c r="A566" s="5"/>
      <c r="B566" s="5"/>
      <c r="C566" s="5"/>
      <c r="D566" s="5"/>
      <c r="E566" s="5"/>
      <c r="F566" s="5"/>
      <c r="G566" s="5"/>
      <c r="H566" s="5"/>
      <c r="I566" s="92"/>
      <c r="J566" s="92"/>
      <c r="K566" s="92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>
      <c r="A567" s="5"/>
      <c r="B567" s="5"/>
      <c r="C567" s="5"/>
      <c r="D567" s="5"/>
      <c r="E567" s="5"/>
      <c r="F567" s="5"/>
      <c r="G567" s="5"/>
      <c r="H567" s="5"/>
      <c r="I567" s="92"/>
      <c r="J567" s="92"/>
      <c r="K567" s="92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>
      <c r="A568" s="5"/>
      <c r="B568" s="5"/>
      <c r="C568" s="5"/>
      <c r="D568" s="5"/>
      <c r="E568" s="5"/>
      <c r="F568" s="5"/>
      <c r="G568" s="5"/>
      <c r="H568" s="5"/>
      <c r="I568" s="92"/>
      <c r="J568" s="92"/>
      <c r="K568" s="92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>
      <c r="A569" s="5"/>
      <c r="B569" s="5"/>
      <c r="C569" s="5"/>
      <c r="D569" s="5"/>
      <c r="E569" s="5"/>
      <c r="F569" s="5"/>
      <c r="G569" s="5"/>
      <c r="H569" s="5"/>
      <c r="I569" s="92"/>
      <c r="J569" s="92"/>
      <c r="K569" s="92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>
      <c r="A570" s="5"/>
      <c r="B570" s="5"/>
      <c r="C570" s="5"/>
      <c r="D570" s="5"/>
      <c r="E570" s="5"/>
      <c r="F570" s="5"/>
      <c r="G570" s="5"/>
      <c r="H570" s="5"/>
      <c r="I570" s="92"/>
      <c r="J570" s="92"/>
      <c r="K570" s="92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>
      <c r="A571" s="5"/>
      <c r="B571" s="5"/>
      <c r="C571" s="5"/>
      <c r="D571" s="5"/>
      <c r="E571" s="5"/>
      <c r="F571" s="5"/>
      <c r="G571" s="5"/>
      <c r="H571" s="5"/>
      <c r="I571" s="92"/>
      <c r="J571" s="92"/>
      <c r="K571" s="92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>
      <c r="A572" s="5"/>
      <c r="B572" s="5"/>
      <c r="C572" s="5"/>
      <c r="D572" s="5"/>
      <c r="E572" s="5"/>
      <c r="F572" s="5"/>
      <c r="G572" s="5"/>
      <c r="H572" s="5"/>
      <c r="I572" s="92"/>
      <c r="J572" s="92"/>
      <c r="K572" s="92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>
      <c r="A573" s="5"/>
      <c r="B573" s="5"/>
      <c r="C573" s="5"/>
      <c r="D573" s="5"/>
      <c r="E573" s="5"/>
      <c r="F573" s="5"/>
      <c r="G573" s="5"/>
      <c r="H573" s="5"/>
      <c r="I573" s="92"/>
      <c r="J573" s="92"/>
      <c r="K573" s="92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>
      <c r="A574" s="5"/>
      <c r="B574" s="5"/>
      <c r="C574" s="5"/>
      <c r="D574" s="5"/>
      <c r="E574" s="5"/>
      <c r="F574" s="5"/>
      <c r="G574" s="5"/>
      <c r="H574" s="5"/>
      <c r="I574" s="92"/>
      <c r="J574" s="92"/>
      <c r="K574" s="92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>
      <c r="A575" s="5"/>
      <c r="B575" s="5"/>
      <c r="C575" s="5"/>
      <c r="D575" s="5"/>
      <c r="E575" s="5"/>
      <c r="F575" s="5"/>
      <c r="G575" s="5"/>
      <c r="H575" s="5"/>
      <c r="I575" s="92"/>
      <c r="J575" s="92"/>
      <c r="K575" s="92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>
      <c r="A576" s="5"/>
      <c r="B576" s="5"/>
      <c r="C576" s="5"/>
      <c r="D576" s="5"/>
      <c r="E576" s="5"/>
      <c r="F576" s="5"/>
      <c r="G576" s="5"/>
      <c r="H576" s="5"/>
      <c r="I576" s="92"/>
      <c r="J576" s="92"/>
      <c r="K576" s="92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>
      <c r="A577" s="5"/>
      <c r="B577" s="5"/>
      <c r="C577" s="5"/>
      <c r="D577" s="5"/>
      <c r="E577" s="5"/>
      <c r="F577" s="5"/>
      <c r="G577" s="5"/>
      <c r="H577" s="5"/>
      <c r="I577" s="92"/>
      <c r="J577" s="92"/>
      <c r="K577" s="92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>
      <c r="A578" s="5"/>
      <c r="B578" s="5"/>
      <c r="C578" s="5"/>
      <c r="D578" s="5"/>
      <c r="E578" s="5"/>
      <c r="F578" s="5"/>
      <c r="G578" s="5"/>
      <c r="H578" s="5"/>
      <c r="I578" s="92"/>
      <c r="J578" s="92"/>
      <c r="K578" s="92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>
      <c r="A579" s="5"/>
      <c r="B579" s="5"/>
      <c r="C579" s="5"/>
      <c r="D579" s="5"/>
      <c r="E579" s="5"/>
      <c r="F579" s="5"/>
      <c r="G579" s="5"/>
      <c r="H579" s="5"/>
      <c r="I579" s="92"/>
      <c r="J579" s="92"/>
      <c r="K579" s="92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>
      <c r="A580" s="5"/>
      <c r="B580" s="5"/>
      <c r="C580" s="5"/>
      <c r="D580" s="5"/>
      <c r="E580" s="5"/>
      <c r="F580" s="5"/>
      <c r="G580" s="5"/>
      <c r="H580" s="5"/>
      <c r="I580" s="92"/>
      <c r="J580" s="92"/>
      <c r="K580" s="92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>
      <c r="A581" s="5"/>
      <c r="B581" s="5"/>
      <c r="C581" s="5"/>
      <c r="D581" s="5"/>
      <c r="E581" s="5"/>
      <c r="F581" s="5"/>
      <c r="G581" s="5"/>
      <c r="H581" s="5"/>
      <c r="I581" s="92"/>
      <c r="J581" s="92"/>
      <c r="K581" s="92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>
      <c r="A582" s="5"/>
      <c r="B582" s="5"/>
      <c r="C582" s="5"/>
      <c r="D582" s="5"/>
      <c r="E582" s="5"/>
      <c r="F582" s="5"/>
      <c r="G582" s="5"/>
      <c r="H582" s="5"/>
      <c r="I582" s="92"/>
      <c r="J582" s="92"/>
      <c r="K582" s="92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>
      <c r="A583" s="5"/>
      <c r="B583" s="5"/>
      <c r="C583" s="5"/>
      <c r="D583" s="5"/>
      <c r="E583" s="5"/>
      <c r="F583" s="5"/>
      <c r="G583" s="5"/>
      <c r="H583" s="5"/>
      <c r="I583" s="92"/>
      <c r="J583" s="92"/>
      <c r="K583" s="92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>
      <c r="A584" s="5"/>
      <c r="B584" s="5"/>
      <c r="C584" s="5"/>
      <c r="D584" s="5"/>
      <c r="E584" s="5"/>
      <c r="F584" s="5"/>
      <c r="G584" s="5"/>
      <c r="H584" s="5"/>
      <c r="I584" s="92"/>
      <c r="J584" s="92"/>
      <c r="K584" s="92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>
      <c r="A585" s="5"/>
      <c r="B585" s="5"/>
      <c r="C585" s="5"/>
      <c r="D585" s="5"/>
      <c r="E585" s="5"/>
      <c r="F585" s="5"/>
      <c r="G585" s="5"/>
      <c r="H585" s="5"/>
      <c r="I585" s="92"/>
      <c r="J585" s="92"/>
      <c r="K585" s="92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>
      <c r="A586" s="5"/>
      <c r="B586" s="5"/>
      <c r="C586" s="5"/>
      <c r="D586" s="5"/>
      <c r="E586" s="5"/>
      <c r="F586" s="5"/>
      <c r="G586" s="5"/>
      <c r="H586" s="5"/>
      <c r="I586" s="92"/>
      <c r="J586" s="92"/>
      <c r="K586" s="92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>
      <c r="A587" s="5"/>
      <c r="B587" s="5"/>
      <c r="C587" s="5"/>
      <c r="D587" s="5"/>
      <c r="E587" s="5"/>
      <c r="F587" s="5"/>
      <c r="G587" s="5"/>
      <c r="H587" s="5"/>
      <c r="I587" s="92"/>
      <c r="J587" s="92"/>
      <c r="K587" s="92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>
      <c r="A588" s="5"/>
      <c r="B588" s="5"/>
      <c r="C588" s="5"/>
      <c r="D588" s="5"/>
      <c r="E588" s="5"/>
      <c r="F588" s="5"/>
      <c r="G588" s="5"/>
      <c r="H588" s="5"/>
      <c r="I588" s="92"/>
      <c r="J588" s="92"/>
      <c r="K588" s="92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>
      <c r="A589" s="5"/>
      <c r="B589" s="5"/>
      <c r="C589" s="5"/>
      <c r="D589" s="5"/>
      <c r="E589" s="5"/>
      <c r="F589" s="5"/>
      <c r="G589" s="5"/>
      <c r="H589" s="5"/>
      <c r="I589" s="92"/>
      <c r="J589" s="92"/>
      <c r="K589" s="92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>
      <c r="A590" s="5"/>
      <c r="B590" s="5"/>
      <c r="C590" s="5"/>
      <c r="D590" s="5"/>
      <c r="E590" s="5"/>
      <c r="F590" s="5"/>
      <c r="G590" s="5"/>
      <c r="H590" s="5"/>
      <c r="I590" s="92"/>
      <c r="J590" s="92"/>
      <c r="K590" s="92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>
      <c r="A591" s="5"/>
      <c r="B591" s="5"/>
      <c r="C591" s="5"/>
      <c r="D591" s="5"/>
      <c r="E591" s="5"/>
      <c r="F591" s="5"/>
      <c r="G591" s="5"/>
      <c r="H591" s="5"/>
      <c r="I591" s="92"/>
      <c r="J591" s="92"/>
      <c r="K591" s="92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>
      <c r="A592" s="5"/>
      <c r="B592" s="5"/>
      <c r="C592" s="5"/>
      <c r="D592" s="5"/>
      <c r="E592" s="5"/>
      <c r="F592" s="5"/>
      <c r="G592" s="5"/>
      <c r="H592" s="5"/>
      <c r="I592" s="92"/>
      <c r="J592" s="92"/>
      <c r="K592" s="92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>
      <c r="A593" s="5"/>
      <c r="B593" s="5"/>
      <c r="C593" s="5"/>
      <c r="D593" s="5"/>
      <c r="E593" s="5"/>
      <c r="F593" s="5"/>
      <c r="G593" s="5"/>
      <c r="H593" s="5"/>
      <c r="I593" s="92"/>
      <c r="J593" s="92"/>
      <c r="K593" s="92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>
      <c r="A594" s="5"/>
      <c r="B594" s="5"/>
      <c r="C594" s="5"/>
      <c r="D594" s="5"/>
      <c r="E594" s="5"/>
      <c r="F594" s="5"/>
      <c r="G594" s="5"/>
      <c r="H594" s="5"/>
      <c r="I594" s="92"/>
      <c r="J594" s="92"/>
      <c r="K594" s="92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>
      <c r="A595" s="5"/>
      <c r="B595" s="5"/>
      <c r="C595" s="5"/>
      <c r="D595" s="5"/>
      <c r="E595" s="5"/>
      <c r="F595" s="5"/>
      <c r="G595" s="5"/>
      <c r="H595" s="5"/>
      <c r="I595" s="92"/>
      <c r="J595" s="92"/>
      <c r="K595" s="92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>
      <c r="A596" s="5"/>
      <c r="B596" s="5"/>
      <c r="C596" s="5"/>
      <c r="D596" s="5"/>
      <c r="E596" s="5"/>
      <c r="F596" s="5"/>
      <c r="G596" s="5"/>
      <c r="H596" s="5"/>
      <c r="I596" s="92"/>
      <c r="J596" s="92"/>
      <c r="K596" s="92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>
      <c r="A597" s="5"/>
      <c r="B597" s="5"/>
      <c r="C597" s="5"/>
      <c r="D597" s="5"/>
      <c r="E597" s="5"/>
      <c r="F597" s="5"/>
      <c r="G597" s="5"/>
      <c r="H597" s="5"/>
      <c r="I597" s="92"/>
      <c r="J597" s="92"/>
      <c r="K597" s="92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>
      <c r="A598" s="5"/>
      <c r="B598" s="5"/>
      <c r="C598" s="5"/>
      <c r="D598" s="5"/>
      <c r="E598" s="5"/>
      <c r="F598" s="5"/>
      <c r="G598" s="5"/>
      <c r="H598" s="5"/>
      <c r="I598" s="92"/>
      <c r="J598" s="92"/>
      <c r="K598" s="92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>
      <c r="A599" s="5"/>
      <c r="B599" s="5"/>
      <c r="C599" s="5"/>
      <c r="D599" s="5"/>
      <c r="E599" s="5"/>
      <c r="F599" s="5"/>
      <c r="G599" s="5"/>
      <c r="H599" s="5"/>
      <c r="I599" s="92"/>
      <c r="J599" s="92"/>
      <c r="K599" s="92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>
      <c r="A600" s="5"/>
      <c r="B600" s="5"/>
      <c r="C600" s="5"/>
      <c r="D600" s="5"/>
      <c r="E600" s="5"/>
      <c r="F600" s="5"/>
      <c r="G600" s="5"/>
      <c r="H600" s="5"/>
      <c r="I600" s="92"/>
      <c r="J600" s="92"/>
      <c r="K600" s="92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>
      <c r="A601" s="5"/>
      <c r="B601" s="5"/>
      <c r="C601" s="5"/>
      <c r="D601" s="5"/>
      <c r="E601" s="5"/>
      <c r="F601" s="5"/>
      <c r="G601" s="5"/>
      <c r="H601" s="5"/>
      <c r="I601" s="92"/>
      <c r="J601" s="92"/>
      <c r="K601" s="92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>
      <c r="A602" s="5"/>
      <c r="B602" s="5"/>
      <c r="C602" s="5"/>
      <c r="D602" s="5"/>
      <c r="E602" s="5"/>
      <c r="F602" s="5"/>
      <c r="G602" s="5"/>
      <c r="H602" s="5"/>
      <c r="I602" s="92"/>
      <c r="J602" s="92"/>
      <c r="K602" s="92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>
      <c r="A603" s="5"/>
      <c r="B603" s="5"/>
      <c r="C603" s="5"/>
      <c r="D603" s="5"/>
      <c r="E603" s="5"/>
      <c r="F603" s="5"/>
      <c r="G603" s="5"/>
      <c r="H603" s="5"/>
      <c r="I603" s="92"/>
      <c r="J603" s="92"/>
      <c r="K603" s="92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>
      <c r="A604" s="5"/>
      <c r="B604" s="5"/>
      <c r="C604" s="5"/>
      <c r="D604" s="5"/>
      <c r="E604" s="5"/>
      <c r="F604" s="5"/>
      <c r="G604" s="5"/>
      <c r="H604" s="5"/>
      <c r="I604" s="92"/>
      <c r="J604" s="92"/>
      <c r="K604" s="92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>
      <c r="A605" s="5"/>
      <c r="B605" s="5"/>
      <c r="C605" s="5"/>
      <c r="D605" s="5"/>
      <c r="E605" s="5"/>
      <c r="F605" s="5"/>
      <c r="G605" s="5"/>
      <c r="H605" s="5"/>
      <c r="I605" s="92"/>
      <c r="J605" s="92"/>
      <c r="K605" s="92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>
      <c r="A606" s="5"/>
      <c r="B606" s="5"/>
      <c r="C606" s="5"/>
      <c r="D606" s="5"/>
      <c r="E606" s="5"/>
      <c r="F606" s="5"/>
      <c r="G606" s="5"/>
      <c r="H606" s="5"/>
      <c r="I606" s="92"/>
      <c r="J606" s="92"/>
      <c r="K606" s="92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>
      <c r="A607" s="5"/>
      <c r="B607" s="5"/>
      <c r="C607" s="5"/>
      <c r="D607" s="5"/>
      <c r="E607" s="5"/>
      <c r="F607" s="5"/>
      <c r="G607" s="5"/>
      <c r="H607" s="5"/>
      <c r="I607" s="92"/>
      <c r="J607" s="92"/>
      <c r="K607" s="92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>
      <c r="A608" s="5"/>
      <c r="B608" s="5"/>
      <c r="C608" s="5"/>
      <c r="D608" s="5"/>
      <c r="E608" s="5"/>
      <c r="F608" s="5"/>
      <c r="G608" s="5"/>
      <c r="H608" s="5"/>
      <c r="I608" s="92"/>
      <c r="J608" s="92"/>
      <c r="K608" s="92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>
      <c r="A609" s="5"/>
      <c r="B609" s="5"/>
      <c r="C609" s="5"/>
      <c r="D609" s="5"/>
      <c r="E609" s="5"/>
      <c r="F609" s="5"/>
      <c r="G609" s="5"/>
      <c r="H609" s="5"/>
      <c r="I609" s="92"/>
      <c r="J609" s="92"/>
      <c r="K609" s="92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>
      <c r="A610" s="5"/>
      <c r="B610" s="5"/>
      <c r="C610" s="5"/>
      <c r="D610" s="5"/>
      <c r="E610" s="5"/>
      <c r="F610" s="5"/>
      <c r="G610" s="5"/>
      <c r="H610" s="5"/>
      <c r="I610" s="92"/>
      <c r="J610" s="92"/>
      <c r="K610" s="92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>
      <c r="A611" s="5"/>
      <c r="B611" s="5"/>
      <c r="C611" s="5"/>
      <c r="D611" s="5"/>
      <c r="E611" s="5"/>
      <c r="F611" s="5"/>
      <c r="G611" s="5"/>
      <c r="H611" s="5"/>
      <c r="I611" s="92"/>
      <c r="J611" s="92"/>
      <c r="K611" s="92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>
      <c r="A612" s="5"/>
      <c r="B612" s="5"/>
      <c r="C612" s="5"/>
      <c r="D612" s="5"/>
      <c r="E612" s="5"/>
      <c r="F612" s="5"/>
      <c r="G612" s="5"/>
      <c r="H612" s="5"/>
      <c r="I612" s="92"/>
      <c r="J612" s="92"/>
      <c r="K612" s="92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>
      <c r="A613" s="5"/>
      <c r="B613" s="5"/>
      <c r="C613" s="5"/>
      <c r="D613" s="5"/>
      <c r="E613" s="5"/>
      <c r="F613" s="5"/>
      <c r="G613" s="5"/>
      <c r="H613" s="5"/>
      <c r="I613" s="92"/>
      <c r="J613" s="92"/>
      <c r="K613" s="92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>
      <c r="A614" s="5"/>
      <c r="B614" s="5"/>
      <c r="C614" s="5"/>
      <c r="D614" s="5"/>
      <c r="E614" s="5"/>
      <c r="F614" s="5"/>
      <c r="G614" s="5"/>
      <c r="H614" s="5"/>
      <c r="I614" s="92"/>
      <c r="J614" s="92"/>
      <c r="K614" s="92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>
      <c r="A615" s="5"/>
      <c r="B615" s="5"/>
      <c r="C615" s="5"/>
      <c r="D615" s="5"/>
      <c r="E615" s="5"/>
      <c r="F615" s="5"/>
      <c r="G615" s="5"/>
      <c r="H615" s="5"/>
      <c r="I615" s="92"/>
      <c r="J615" s="92"/>
      <c r="K615" s="92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>
      <c r="A616" s="5"/>
      <c r="B616" s="5"/>
      <c r="C616" s="5"/>
      <c r="D616" s="5"/>
      <c r="E616" s="5"/>
      <c r="F616" s="5"/>
      <c r="G616" s="5"/>
      <c r="H616" s="5"/>
      <c r="I616" s="92"/>
      <c r="J616" s="92"/>
      <c r="K616" s="92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>
      <c r="A617" s="5"/>
      <c r="B617" s="5"/>
      <c r="C617" s="5"/>
      <c r="D617" s="5"/>
      <c r="E617" s="5"/>
      <c r="F617" s="5"/>
      <c r="G617" s="5"/>
      <c r="H617" s="5"/>
      <c r="I617" s="92"/>
      <c r="J617" s="92"/>
      <c r="K617" s="92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>
      <c r="A618" s="5"/>
      <c r="B618" s="5"/>
      <c r="C618" s="5"/>
      <c r="D618" s="5"/>
      <c r="E618" s="5"/>
      <c r="F618" s="5"/>
      <c r="G618" s="5"/>
      <c r="H618" s="5"/>
      <c r="I618" s="92"/>
      <c r="J618" s="92"/>
      <c r="K618" s="92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>
      <c r="A619" s="5"/>
      <c r="B619" s="5"/>
      <c r="C619" s="5"/>
      <c r="D619" s="5"/>
      <c r="E619" s="5"/>
      <c r="F619" s="5"/>
      <c r="G619" s="5"/>
      <c r="H619" s="5"/>
      <c r="I619" s="92"/>
      <c r="J619" s="92"/>
      <c r="K619" s="92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>
      <c r="A620" s="5"/>
      <c r="B620" s="5"/>
      <c r="C620" s="5"/>
      <c r="D620" s="5"/>
      <c r="E620" s="5"/>
      <c r="F620" s="5"/>
      <c r="G620" s="5"/>
      <c r="H620" s="5"/>
      <c r="I620" s="92"/>
      <c r="J620" s="92"/>
      <c r="K620" s="92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>
      <c r="A621" s="5"/>
      <c r="B621" s="5"/>
      <c r="C621" s="5"/>
      <c r="D621" s="5"/>
      <c r="E621" s="5"/>
      <c r="F621" s="5"/>
      <c r="G621" s="5"/>
      <c r="H621" s="5"/>
      <c r="I621" s="92"/>
      <c r="J621" s="92"/>
      <c r="K621" s="92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>
      <c r="A622" s="5"/>
      <c r="B622" s="5"/>
      <c r="C622" s="5"/>
      <c r="D622" s="5"/>
      <c r="E622" s="5"/>
      <c r="F622" s="5"/>
      <c r="G622" s="5"/>
      <c r="H622" s="5"/>
      <c r="I622" s="92"/>
      <c r="J622" s="92"/>
      <c r="K622" s="92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>
      <c r="A623" s="5"/>
      <c r="B623" s="5"/>
      <c r="C623" s="5"/>
      <c r="D623" s="5"/>
      <c r="E623" s="5"/>
      <c r="F623" s="5"/>
      <c r="G623" s="5"/>
      <c r="H623" s="5"/>
      <c r="I623" s="92"/>
      <c r="J623" s="92"/>
      <c r="K623" s="92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>
      <c r="A624" s="5"/>
      <c r="B624" s="5"/>
      <c r="C624" s="5"/>
      <c r="D624" s="5"/>
      <c r="E624" s="5"/>
      <c r="F624" s="5"/>
      <c r="G624" s="5"/>
      <c r="H624" s="5"/>
      <c r="I624" s="92"/>
      <c r="J624" s="92"/>
      <c r="K624" s="92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>
      <c r="A625" s="5"/>
      <c r="B625" s="5"/>
      <c r="C625" s="5"/>
      <c r="D625" s="5"/>
      <c r="E625" s="5"/>
      <c r="F625" s="5"/>
      <c r="G625" s="5"/>
      <c r="H625" s="5"/>
      <c r="I625" s="92"/>
      <c r="J625" s="92"/>
      <c r="K625" s="92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>
      <c r="A626" s="5"/>
      <c r="B626" s="5"/>
      <c r="C626" s="5"/>
      <c r="D626" s="5"/>
      <c r="E626" s="5"/>
      <c r="F626" s="5"/>
      <c r="G626" s="5"/>
      <c r="H626" s="5"/>
      <c r="I626" s="92"/>
      <c r="J626" s="92"/>
      <c r="K626" s="92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>
      <c r="A627" s="5"/>
      <c r="B627" s="5"/>
      <c r="C627" s="5"/>
      <c r="D627" s="5"/>
      <c r="E627" s="5"/>
      <c r="F627" s="5"/>
      <c r="G627" s="5"/>
      <c r="H627" s="5"/>
      <c r="I627" s="92"/>
      <c r="J627" s="92"/>
      <c r="K627" s="92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>
      <c r="A628" s="5"/>
      <c r="B628" s="5"/>
      <c r="C628" s="5"/>
      <c r="D628" s="5"/>
      <c r="E628" s="5"/>
      <c r="F628" s="5"/>
      <c r="G628" s="5"/>
      <c r="H628" s="5"/>
      <c r="I628" s="92"/>
      <c r="J628" s="92"/>
      <c r="K628" s="92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>
      <c r="A629" s="5"/>
      <c r="B629" s="5"/>
      <c r="C629" s="5"/>
      <c r="D629" s="5"/>
      <c r="E629" s="5"/>
      <c r="F629" s="5"/>
      <c r="G629" s="5"/>
      <c r="H629" s="5"/>
      <c r="I629" s="92"/>
      <c r="J629" s="92"/>
      <c r="K629" s="92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>
      <c r="A630" s="5"/>
      <c r="B630" s="5"/>
      <c r="C630" s="5"/>
      <c r="D630" s="5"/>
      <c r="E630" s="5"/>
      <c r="F630" s="5"/>
      <c r="G630" s="5"/>
      <c r="H630" s="5"/>
      <c r="I630" s="92"/>
      <c r="J630" s="92"/>
      <c r="K630" s="92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>
      <c r="A631" s="5"/>
      <c r="B631" s="5"/>
      <c r="C631" s="5"/>
      <c r="D631" s="5"/>
      <c r="E631" s="5"/>
      <c r="F631" s="5"/>
      <c r="G631" s="5"/>
      <c r="H631" s="5"/>
      <c r="I631" s="92"/>
      <c r="J631" s="92"/>
      <c r="K631" s="92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>
      <c r="A632" s="5"/>
      <c r="B632" s="5"/>
      <c r="C632" s="5"/>
      <c r="D632" s="5"/>
      <c r="E632" s="5"/>
      <c r="F632" s="5"/>
      <c r="G632" s="5"/>
      <c r="H632" s="5"/>
      <c r="I632" s="92"/>
      <c r="J632" s="92"/>
      <c r="K632" s="92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>
      <c r="A633" s="5"/>
      <c r="B633" s="5"/>
      <c r="C633" s="5"/>
      <c r="D633" s="5"/>
      <c r="E633" s="5"/>
      <c r="F633" s="5"/>
      <c r="G633" s="5"/>
      <c r="H633" s="5"/>
      <c r="I633" s="92"/>
      <c r="J633" s="92"/>
      <c r="K633" s="92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>
      <c r="A634" s="5"/>
      <c r="B634" s="5"/>
      <c r="C634" s="5"/>
      <c r="D634" s="5"/>
      <c r="E634" s="5"/>
      <c r="F634" s="5"/>
      <c r="G634" s="5"/>
      <c r="H634" s="5"/>
      <c r="I634" s="92"/>
      <c r="J634" s="92"/>
      <c r="K634" s="92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>
      <c r="A635" s="5"/>
      <c r="B635" s="5"/>
      <c r="C635" s="5"/>
      <c r="D635" s="5"/>
      <c r="E635" s="5"/>
      <c r="F635" s="5"/>
      <c r="G635" s="5"/>
      <c r="H635" s="5"/>
      <c r="I635" s="92"/>
      <c r="J635" s="92"/>
      <c r="K635" s="92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>
      <c r="A636" s="5"/>
      <c r="B636" s="5"/>
      <c r="C636" s="5"/>
      <c r="D636" s="5"/>
      <c r="E636" s="5"/>
      <c r="F636" s="5"/>
      <c r="G636" s="5"/>
      <c r="H636" s="5"/>
      <c r="I636" s="92"/>
      <c r="J636" s="92"/>
      <c r="K636" s="92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>
      <c r="A637" s="5"/>
      <c r="B637" s="5"/>
      <c r="C637" s="5"/>
      <c r="D637" s="5"/>
      <c r="E637" s="5"/>
      <c r="F637" s="5"/>
      <c r="G637" s="5"/>
      <c r="H637" s="5"/>
      <c r="I637" s="92"/>
      <c r="J637" s="92"/>
      <c r="K637" s="92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>
      <c r="A638" s="5"/>
      <c r="B638" s="5"/>
      <c r="C638" s="5"/>
      <c r="D638" s="5"/>
      <c r="E638" s="5"/>
      <c r="F638" s="5"/>
      <c r="G638" s="5"/>
      <c r="H638" s="5"/>
      <c r="I638" s="92"/>
      <c r="J638" s="92"/>
      <c r="K638" s="92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>
      <c r="A639" s="5"/>
      <c r="B639" s="5"/>
      <c r="C639" s="5"/>
      <c r="D639" s="5"/>
      <c r="E639" s="5"/>
      <c r="F639" s="5"/>
      <c r="G639" s="5"/>
      <c r="H639" s="5"/>
      <c r="I639" s="92"/>
      <c r="J639" s="92"/>
      <c r="K639" s="92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>
      <c r="A640" s="5"/>
      <c r="B640" s="5"/>
      <c r="C640" s="5"/>
      <c r="D640" s="5"/>
      <c r="E640" s="5"/>
      <c r="F640" s="5"/>
      <c r="G640" s="5"/>
      <c r="H640" s="5"/>
      <c r="I640" s="92"/>
      <c r="J640" s="92"/>
      <c r="K640" s="92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>
      <c r="A641" s="5"/>
      <c r="B641" s="5"/>
      <c r="C641" s="5"/>
      <c r="D641" s="5"/>
      <c r="E641" s="5"/>
      <c r="F641" s="5"/>
      <c r="G641" s="5"/>
      <c r="H641" s="5"/>
      <c r="I641" s="92"/>
      <c r="J641" s="92"/>
      <c r="K641" s="92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>
      <c r="A642" s="5"/>
      <c r="B642" s="5"/>
      <c r="C642" s="5"/>
      <c r="D642" s="5"/>
      <c r="E642" s="5"/>
      <c r="F642" s="5"/>
      <c r="G642" s="5"/>
      <c r="H642" s="5"/>
      <c r="I642" s="92"/>
      <c r="J642" s="92"/>
      <c r="K642" s="92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>
      <c r="A643" s="5"/>
      <c r="B643" s="5"/>
      <c r="C643" s="5"/>
      <c r="D643" s="5"/>
      <c r="E643" s="5"/>
      <c r="F643" s="5"/>
      <c r="G643" s="5"/>
      <c r="H643" s="5"/>
      <c r="I643" s="92"/>
      <c r="J643" s="92"/>
      <c r="K643" s="92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>
      <c r="A644" s="5"/>
      <c r="B644" s="5"/>
      <c r="C644" s="5"/>
      <c r="D644" s="5"/>
      <c r="E644" s="5"/>
      <c r="F644" s="5"/>
      <c r="G644" s="5"/>
      <c r="H644" s="5"/>
      <c r="I644" s="92"/>
      <c r="J644" s="92"/>
      <c r="K644" s="92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>
      <c r="A645" s="5"/>
      <c r="B645" s="5"/>
      <c r="C645" s="5"/>
      <c r="D645" s="5"/>
      <c r="E645" s="5"/>
      <c r="F645" s="5"/>
      <c r="G645" s="5"/>
      <c r="H645" s="5"/>
      <c r="I645" s="92"/>
      <c r="J645" s="92"/>
      <c r="K645" s="92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>
      <c r="A646" s="5"/>
      <c r="B646" s="5"/>
      <c r="C646" s="5"/>
      <c r="D646" s="5"/>
      <c r="E646" s="5"/>
      <c r="F646" s="5"/>
      <c r="G646" s="5"/>
      <c r="H646" s="5"/>
      <c r="I646" s="92"/>
      <c r="J646" s="92"/>
      <c r="K646" s="92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>
      <c r="A647" s="5"/>
      <c r="B647" s="5"/>
      <c r="C647" s="5"/>
      <c r="D647" s="5"/>
      <c r="E647" s="5"/>
      <c r="F647" s="5"/>
      <c r="G647" s="5"/>
      <c r="H647" s="5"/>
      <c r="I647" s="92"/>
      <c r="J647" s="92"/>
      <c r="K647" s="92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>
      <c r="A648" s="5"/>
      <c r="B648" s="5"/>
      <c r="C648" s="5"/>
      <c r="D648" s="5"/>
      <c r="E648" s="5"/>
      <c r="F648" s="5"/>
      <c r="G648" s="5"/>
      <c r="H648" s="5"/>
      <c r="I648" s="92"/>
      <c r="J648" s="92"/>
      <c r="K648" s="92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>
      <c r="A649" s="5"/>
      <c r="B649" s="5"/>
      <c r="C649" s="5"/>
      <c r="D649" s="5"/>
      <c r="E649" s="5"/>
      <c r="F649" s="5"/>
      <c r="G649" s="5"/>
      <c r="H649" s="5"/>
      <c r="I649" s="92"/>
      <c r="J649" s="92"/>
      <c r="K649" s="92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>
      <c r="A650" s="5"/>
      <c r="B650" s="5"/>
      <c r="C650" s="5"/>
      <c r="D650" s="5"/>
      <c r="E650" s="5"/>
      <c r="F650" s="5"/>
      <c r="G650" s="5"/>
      <c r="H650" s="5"/>
      <c r="I650" s="92"/>
      <c r="J650" s="92"/>
      <c r="K650" s="92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>
      <c r="A651" s="5"/>
      <c r="B651" s="5"/>
      <c r="C651" s="5"/>
      <c r="D651" s="5"/>
      <c r="E651" s="5"/>
      <c r="F651" s="5"/>
      <c r="G651" s="5"/>
      <c r="H651" s="5"/>
      <c r="I651" s="92"/>
      <c r="J651" s="92"/>
      <c r="K651" s="92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>
      <c r="A652" s="5"/>
      <c r="B652" s="5"/>
      <c r="C652" s="5"/>
      <c r="D652" s="5"/>
      <c r="E652" s="5"/>
      <c r="F652" s="5"/>
      <c r="G652" s="5"/>
      <c r="H652" s="5"/>
      <c r="I652" s="92"/>
      <c r="J652" s="92"/>
      <c r="K652" s="92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>
      <c r="A653" s="5"/>
      <c r="B653" s="5"/>
      <c r="C653" s="5"/>
      <c r="D653" s="5"/>
      <c r="E653" s="5"/>
      <c r="F653" s="5"/>
      <c r="G653" s="5"/>
      <c r="H653" s="5"/>
      <c r="I653" s="92"/>
      <c r="J653" s="92"/>
      <c r="K653" s="92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>
      <c r="A654" s="5"/>
      <c r="B654" s="5"/>
      <c r="C654" s="5"/>
      <c r="D654" s="5"/>
      <c r="E654" s="5"/>
      <c r="F654" s="5"/>
      <c r="G654" s="5"/>
      <c r="H654" s="5"/>
      <c r="I654" s="92"/>
      <c r="J654" s="92"/>
      <c r="K654" s="92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>
      <c r="A655" s="5"/>
      <c r="B655" s="5"/>
      <c r="C655" s="5"/>
      <c r="D655" s="5"/>
      <c r="E655" s="5"/>
      <c r="F655" s="5"/>
      <c r="G655" s="5"/>
      <c r="H655" s="5"/>
      <c r="I655" s="92"/>
      <c r="J655" s="92"/>
      <c r="K655" s="92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>
      <c r="A656" s="5"/>
      <c r="B656" s="5"/>
      <c r="C656" s="5"/>
      <c r="D656" s="5"/>
      <c r="E656" s="5"/>
      <c r="F656" s="5"/>
      <c r="G656" s="5"/>
      <c r="H656" s="5"/>
      <c r="I656" s="92"/>
      <c r="J656" s="92"/>
      <c r="K656" s="92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>
      <c r="A657" s="5"/>
      <c r="B657" s="5"/>
      <c r="C657" s="5"/>
      <c r="D657" s="5"/>
      <c r="E657" s="5"/>
      <c r="F657" s="5"/>
      <c r="G657" s="5"/>
      <c r="H657" s="5"/>
      <c r="I657" s="92"/>
      <c r="J657" s="92"/>
      <c r="K657" s="92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>
      <c r="A658" s="5"/>
      <c r="B658" s="5"/>
      <c r="C658" s="5"/>
      <c r="D658" s="5"/>
      <c r="E658" s="5"/>
      <c r="F658" s="5"/>
      <c r="G658" s="5"/>
      <c r="H658" s="5"/>
      <c r="I658" s="92"/>
      <c r="J658" s="92"/>
      <c r="K658" s="92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>
      <c r="A659" s="5"/>
      <c r="B659" s="5"/>
      <c r="C659" s="5"/>
      <c r="D659" s="5"/>
      <c r="E659" s="5"/>
      <c r="F659" s="5"/>
      <c r="G659" s="5"/>
      <c r="H659" s="5"/>
      <c r="I659" s="92"/>
      <c r="J659" s="92"/>
      <c r="K659" s="92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>
      <c r="A660" s="5"/>
      <c r="B660" s="5"/>
      <c r="C660" s="5"/>
      <c r="D660" s="5"/>
      <c r="E660" s="5"/>
      <c r="F660" s="5"/>
      <c r="G660" s="5"/>
      <c r="H660" s="5"/>
      <c r="I660" s="92"/>
      <c r="J660" s="92"/>
      <c r="K660" s="92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>
      <c r="A661" s="5"/>
      <c r="B661" s="5"/>
      <c r="C661" s="5"/>
      <c r="D661" s="5"/>
      <c r="E661" s="5"/>
      <c r="F661" s="5"/>
      <c r="G661" s="5"/>
      <c r="H661" s="5"/>
      <c r="I661" s="92"/>
      <c r="J661" s="92"/>
      <c r="K661" s="92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>
      <c r="A662" s="5"/>
      <c r="B662" s="5"/>
      <c r="C662" s="5"/>
      <c r="D662" s="5"/>
      <c r="E662" s="5"/>
      <c r="F662" s="5"/>
      <c r="G662" s="5"/>
      <c r="H662" s="5"/>
      <c r="I662" s="92"/>
      <c r="J662" s="92"/>
      <c r="K662" s="92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>
      <c r="A663" s="5"/>
      <c r="B663" s="5"/>
      <c r="C663" s="5"/>
      <c r="D663" s="5"/>
      <c r="E663" s="5"/>
      <c r="F663" s="5"/>
      <c r="G663" s="5"/>
      <c r="H663" s="5"/>
      <c r="I663" s="92"/>
      <c r="J663" s="92"/>
      <c r="K663" s="92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>
      <c r="A664" s="5"/>
      <c r="B664" s="5"/>
      <c r="C664" s="5"/>
      <c r="D664" s="5"/>
      <c r="E664" s="5"/>
      <c r="F664" s="5"/>
      <c r="G664" s="5"/>
      <c r="H664" s="5"/>
      <c r="I664" s="92"/>
      <c r="J664" s="92"/>
      <c r="K664" s="92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>
      <c r="A665" s="5"/>
      <c r="B665" s="5"/>
      <c r="C665" s="5"/>
      <c r="D665" s="5"/>
      <c r="E665" s="5"/>
      <c r="F665" s="5"/>
      <c r="G665" s="5"/>
      <c r="H665" s="5"/>
      <c r="I665" s="92"/>
      <c r="J665" s="92"/>
      <c r="K665" s="92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>
      <c r="A666" s="5"/>
      <c r="B666" s="5"/>
      <c r="C666" s="5"/>
      <c r="D666" s="5"/>
      <c r="E666" s="5"/>
      <c r="F666" s="5"/>
      <c r="G666" s="5"/>
      <c r="H666" s="5"/>
      <c r="I666" s="92"/>
      <c r="J666" s="92"/>
      <c r="K666" s="92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>
      <c r="A667" s="5"/>
      <c r="B667" s="5"/>
      <c r="C667" s="5"/>
      <c r="D667" s="5"/>
      <c r="E667" s="5"/>
      <c r="F667" s="5"/>
      <c r="G667" s="5"/>
      <c r="H667" s="5"/>
      <c r="I667" s="92"/>
      <c r="J667" s="92"/>
      <c r="K667" s="92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>
      <c r="A668" s="5"/>
      <c r="B668" s="5"/>
      <c r="C668" s="5"/>
      <c r="D668" s="5"/>
      <c r="E668" s="5"/>
      <c r="F668" s="5"/>
      <c r="G668" s="5"/>
      <c r="H668" s="5"/>
      <c r="I668" s="92"/>
      <c r="J668" s="92"/>
      <c r="K668" s="92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>
      <c r="A669" s="5"/>
      <c r="B669" s="5"/>
      <c r="C669" s="5"/>
      <c r="D669" s="5"/>
      <c r="E669" s="5"/>
      <c r="F669" s="5"/>
      <c r="G669" s="5"/>
      <c r="H669" s="5"/>
      <c r="I669" s="92"/>
      <c r="J669" s="92"/>
      <c r="K669" s="92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>
      <c r="A670" s="5"/>
      <c r="B670" s="5"/>
      <c r="C670" s="5"/>
      <c r="D670" s="5"/>
      <c r="E670" s="5"/>
      <c r="F670" s="5"/>
      <c r="G670" s="5"/>
      <c r="H670" s="5"/>
      <c r="I670" s="92"/>
      <c r="J670" s="92"/>
      <c r="K670" s="92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>
      <c r="A671" s="5"/>
      <c r="B671" s="5"/>
      <c r="C671" s="5"/>
      <c r="D671" s="5"/>
      <c r="E671" s="5"/>
      <c r="F671" s="5"/>
      <c r="G671" s="5"/>
      <c r="H671" s="5"/>
      <c r="I671" s="92"/>
      <c r="J671" s="92"/>
      <c r="K671" s="92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>
      <c r="A672" s="5"/>
      <c r="B672" s="5"/>
      <c r="C672" s="5"/>
      <c r="D672" s="5"/>
      <c r="E672" s="5"/>
      <c r="F672" s="5"/>
      <c r="G672" s="5"/>
      <c r="H672" s="5"/>
      <c r="I672" s="92"/>
      <c r="J672" s="92"/>
      <c r="K672" s="92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>
      <c r="A673" s="5"/>
      <c r="B673" s="5"/>
      <c r="C673" s="5"/>
      <c r="D673" s="5"/>
      <c r="E673" s="5"/>
      <c r="F673" s="5"/>
      <c r="G673" s="5"/>
      <c r="H673" s="5"/>
      <c r="I673" s="92"/>
      <c r="J673" s="92"/>
      <c r="K673" s="92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>
      <c r="A674" s="5"/>
      <c r="B674" s="5"/>
      <c r="C674" s="5"/>
      <c r="D674" s="5"/>
      <c r="E674" s="5"/>
      <c r="F674" s="5"/>
      <c r="G674" s="5"/>
      <c r="H674" s="5"/>
      <c r="I674" s="92"/>
      <c r="J674" s="92"/>
      <c r="K674" s="92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>
      <c r="A675" s="5"/>
      <c r="B675" s="5"/>
      <c r="C675" s="5"/>
      <c r="D675" s="5"/>
      <c r="E675" s="5"/>
      <c r="F675" s="5"/>
      <c r="G675" s="5"/>
      <c r="H675" s="5"/>
      <c r="I675" s="92"/>
      <c r="J675" s="92"/>
      <c r="K675" s="92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>
      <c r="A676" s="5"/>
      <c r="B676" s="5"/>
      <c r="C676" s="5"/>
      <c r="D676" s="5"/>
      <c r="E676" s="5"/>
      <c r="F676" s="5"/>
      <c r="G676" s="5"/>
      <c r="H676" s="5"/>
      <c r="I676" s="92"/>
      <c r="J676" s="92"/>
      <c r="K676" s="92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>
      <c r="A677" s="5"/>
      <c r="B677" s="5"/>
      <c r="C677" s="5"/>
      <c r="D677" s="5"/>
      <c r="E677" s="5"/>
      <c r="F677" s="5"/>
      <c r="G677" s="5"/>
      <c r="H677" s="5"/>
      <c r="I677" s="92"/>
      <c r="J677" s="92"/>
      <c r="K677" s="92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>
      <c r="A678" s="5"/>
      <c r="B678" s="5"/>
      <c r="C678" s="5"/>
      <c r="D678" s="5"/>
      <c r="E678" s="5"/>
      <c r="F678" s="5"/>
      <c r="G678" s="5"/>
      <c r="H678" s="5"/>
      <c r="I678" s="92"/>
      <c r="J678" s="92"/>
      <c r="K678" s="92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>
      <c r="A679" s="5"/>
      <c r="B679" s="5"/>
      <c r="C679" s="5"/>
      <c r="D679" s="5"/>
      <c r="E679" s="5"/>
      <c r="F679" s="5"/>
      <c r="G679" s="5"/>
      <c r="H679" s="5"/>
      <c r="I679" s="92"/>
      <c r="J679" s="92"/>
      <c r="K679" s="92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>
      <c r="A680" s="5"/>
      <c r="B680" s="5"/>
      <c r="C680" s="5"/>
      <c r="D680" s="5"/>
      <c r="E680" s="5"/>
      <c r="F680" s="5"/>
      <c r="G680" s="5"/>
      <c r="H680" s="5"/>
      <c r="I680" s="92"/>
      <c r="J680" s="92"/>
      <c r="K680" s="92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>
      <c r="A681" s="5"/>
      <c r="B681" s="5"/>
      <c r="C681" s="5"/>
      <c r="D681" s="5"/>
      <c r="E681" s="5"/>
      <c r="F681" s="5"/>
      <c r="G681" s="5"/>
      <c r="H681" s="5"/>
      <c r="I681" s="92"/>
      <c r="J681" s="92"/>
      <c r="K681" s="92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>
      <c r="A682" s="5"/>
      <c r="B682" s="5"/>
      <c r="C682" s="5"/>
      <c r="D682" s="5"/>
      <c r="E682" s="5"/>
      <c r="F682" s="5"/>
      <c r="G682" s="5"/>
      <c r="H682" s="5"/>
      <c r="I682" s="92"/>
      <c r="J682" s="92"/>
      <c r="K682" s="92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>
      <c r="A683" s="5"/>
      <c r="B683" s="5"/>
      <c r="C683" s="5"/>
      <c r="D683" s="5"/>
      <c r="E683" s="5"/>
      <c r="F683" s="5"/>
      <c r="G683" s="5"/>
      <c r="H683" s="5"/>
      <c r="I683" s="92"/>
      <c r="J683" s="92"/>
      <c r="K683" s="92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>
      <c r="A684" s="5"/>
      <c r="B684" s="5"/>
      <c r="C684" s="5"/>
      <c r="D684" s="5"/>
      <c r="E684" s="5"/>
      <c r="F684" s="5"/>
      <c r="G684" s="5"/>
      <c r="H684" s="5"/>
      <c r="I684" s="92"/>
      <c r="J684" s="92"/>
      <c r="K684" s="92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>
      <c r="A685" s="5"/>
      <c r="B685" s="5"/>
      <c r="C685" s="5"/>
      <c r="D685" s="5"/>
      <c r="E685" s="5"/>
      <c r="F685" s="5"/>
      <c r="G685" s="5"/>
      <c r="H685" s="5"/>
      <c r="I685" s="92"/>
      <c r="J685" s="92"/>
      <c r="K685" s="92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>
      <c r="A686" s="5"/>
      <c r="B686" s="5"/>
      <c r="C686" s="5"/>
      <c r="D686" s="5"/>
      <c r="E686" s="5"/>
      <c r="F686" s="5"/>
      <c r="G686" s="5"/>
      <c r="H686" s="5"/>
      <c r="I686" s="92"/>
      <c r="J686" s="92"/>
      <c r="K686" s="92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>
      <c r="A687" s="5"/>
      <c r="B687" s="5"/>
      <c r="C687" s="5"/>
      <c r="D687" s="5"/>
      <c r="E687" s="5"/>
      <c r="F687" s="5"/>
      <c r="G687" s="5"/>
      <c r="H687" s="5"/>
      <c r="I687" s="92"/>
      <c r="J687" s="92"/>
      <c r="K687" s="92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>
      <c r="A688" s="5"/>
      <c r="B688" s="5"/>
      <c r="C688" s="5"/>
      <c r="D688" s="5"/>
      <c r="E688" s="5"/>
      <c r="F688" s="5"/>
      <c r="G688" s="5"/>
      <c r="H688" s="5"/>
      <c r="I688" s="92"/>
      <c r="J688" s="92"/>
      <c r="K688" s="92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>
      <c r="A689" s="5"/>
      <c r="B689" s="5"/>
      <c r="C689" s="5"/>
      <c r="D689" s="5"/>
      <c r="E689" s="5"/>
      <c r="F689" s="5"/>
      <c r="G689" s="5"/>
      <c r="H689" s="5"/>
      <c r="I689" s="92"/>
      <c r="J689" s="92"/>
      <c r="K689" s="92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>
      <c r="A690" s="5"/>
      <c r="B690" s="5"/>
      <c r="C690" s="5"/>
      <c r="D690" s="5"/>
      <c r="E690" s="5"/>
      <c r="F690" s="5"/>
      <c r="G690" s="5"/>
      <c r="H690" s="5"/>
      <c r="I690" s="92"/>
      <c r="J690" s="92"/>
      <c r="K690" s="92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>
      <c r="A691" s="5"/>
      <c r="B691" s="5"/>
      <c r="C691" s="5"/>
      <c r="D691" s="5"/>
      <c r="E691" s="5"/>
      <c r="F691" s="5"/>
      <c r="G691" s="5"/>
      <c r="H691" s="5"/>
      <c r="I691" s="92"/>
      <c r="J691" s="92"/>
      <c r="K691" s="92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>
      <c r="A692" s="5"/>
      <c r="B692" s="5"/>
      <c r="C692" s="5"/>
      <c r="D692" s="5"/>
      <c r="E692" s="5"/>
      <c r="F692" s="5"/>
      <c r="G692" s="5"/>
      <c r="H692" s="5"/>
      <c r="I692" s="92"/>
      <c r="J692" s="92"/>
      <c r="K692" s="92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>
      <c r="A693" s="5"/>
      <c r="B693" s="5"/>
      <c r="C693" s="5"/>
      <c r="D693" s="5"/>
      <c r="E693" s="5"/>
      <c r="F693" s="5"/>
      <c r="G693" s="5"/>
      <c r="H693" s="5"/>
      <c r="I693" s="92"/>
      <c r="J693" s="92"/>
      <c r="K693" s="92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>
      <c r="A694" s="5"/>
      <c r="B694" s="5"/>
      <c r="C694" s="5"/>
      <c r="D694" s="5"/>
      <c r="E694" s="5"/>
      <c r="F694" s="5"/>
      <c r="G694" s="5"/>
      <c r="H694" s="5"/>
      <c r="I694" s="92"/>
      <c r="J694" s="92"/>
      <c r="K694" s="92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>
      <c r="A695" s="5"/>
      <c r="B695" s="5"/>
      <c r="C695" s="5"/>
      <c r="D695" s="5"/>
      <c r="E695" s="5"/>
      <c r="F695" s="5"/>
      <c r="G695" s="5"/>
      <c r="H695" s="5"/>
      <c r="I695" s="92"/>
      <c r="J695" s="92"/>
      <c r="K695" s="92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>
      <c r="A696" s="5"/>
      <c r="B696" s="5"/>
      <c r="C696" s="5"/>
      <c r="D696" s="5"/>
      <c r="E696" s="5"/>
      <c r="F696" s="5"/>
      <c r="G696" s="5"/>
      <c r="H696" s="5"/>
      <c r="I696" s="92"/>
      <c r="J696" s="92"/>
      <c r="K696" s="92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>
      <c r="A697" s="5"/>
      <c r="B697" s="5"/>
      <c r="C697" s="5"/>
      <c r="D697" s="5"/>
      <c r="E697" s="5"/>
      <c r="F697" s="5"/>
      <c r="G697" s="5"/>
      <c r="H697" s="5"/>
      <c r="I697" s="92"/>
      <c r="J697" s="92"/>
      <c r="K697" s="92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>
      <c r="A698" s="5"/>
      <c r="B698" s="5"/>
      <c r="C698" s="5"/>
      <c r="D698" s="5"/>
      <c r="E698" s="5"/>
      <c r="F698" s="5"/>
      <c r="G698" s="5"/>
      <c r="H698" s="5"/>
      <c r="I698" s="92"/>
      <c r="J698" s="92"/>
      <c r="K698" s="92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>
      <c r="A699" s="5"/>
      <c r="B699" s="5"/>
      <c r="C699" s="5"/>
      <c r="D699" s="5"/>
      <c r="E699" s="5"/>
      <c r="F699" s="5"/>
      <c r="G699" s="5"/>
      <c r="H699" s="5"/>
      <c r="I699" s="92"/>
      <c r="J699" s="92"/>
      <c r="K699" s="92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>
      <c r="A700" s="5"/>
      <c r="B700" s="5"/>
      <c r="C700" s="5"/>
      <c r="D700" s="5"/>
      <c r="E700" s="5"/>
      <c r="F700" s="5"/>
      <c r="G700" s="5"/>
      <c r="H700" s="5"/>
      <c r="I700" s="92"/>
      <c r="J700" s="92"/>
      <c r="K700" s="92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>
      <c r="A701" s="5"/>
      <c r="B701" s="5"/>
      <c r="C701" s="5"/>
      <c r="D701" s="5"/>
      <c r="E701" s="5"/>
      <c r="F701" s="5"/>
      <c r="G701" s="5"/>
      <c r="H701" s="5"/>
      <c r="I701" s="92"/>
      <c r="J701" s="92"/>
      <c r="K701" s="92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>
      <c r="A702" s="5"/>
      <c r="B702" s="5"/>
      <c r="C702" s="5"/>
      <c r="D702" s="5"/>
      <c r="E702" s="5"/>
      <c r="F702" s="5"/>
      <c r="G702" s="5"/>
      <c r="H702" s="5"/>
      <c r="I702" s="92"/>
      <c r="J702" s="92"/>
      <c r="K702" s="92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>
      <c r="A703" s="5"/>
      <c r="B703" s="5"/>
      <c r="C703" s="5"/>
      <c r="D703" s="5"/>
      <c r="E703" s="5"/>
      <c r="F703" s="5"/>
      <c r="G703" s="5"/>
      <c r="H703" s="5"/>
      <c r="I703" s="92"/>
      <c r="J703" s="92"/>
      <c r="K703" s="92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>
      <c r="A704" s="5"/>
      <c r="B704" s="5"/>
      <c r="C704" s="5"/>
      <c r="D704" s="5"/>
      <c r="E704" s="5"/>
      <c r="F704" s="5"/>
      <c r="G704" s="5"/>
      <c r="H704" s="5"/>
      <c r="I704" s="92"/>
      <c r="J704" s="92"/>
      <c r="K704" s="92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>
      <c r="A705" s="5"/>
      <c r="B705" s="5"/>
      <c r="C705" s="5"/>
      <c r="D705" s="5"/>
      <c r="E705" s="5"/>
      <c r="F705" s="5"/>
      <c r="G705" s="5"/>
      <c r="H705" s="5"/>
      <c r="I705" s="92"/>
      <c r="J705" s="92"/>
      <c r="K705" s="92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>
      <c r="A706" s="5"/>
      <c r="B706" s="5"/>
      <c r="C706" s="5"/>
      <c r="D706" s="5"/>
      <c r="E706" s="5"/>
      <c r="F706" s="5"/>
      <c r="G706" s="5"/>
      <c r="H706" s="5"/>
      <c r="I706" s="92"/>
      <c r="J706" s="92"/>
      <c r="K706" s="92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>
      <c r="A707" s="5"/>
      <c r="B707" s="5"/>
      <c r="C707" s="5"/>
      <c r="D707" s="5"/>
      <c r="E707" s="5"/>
      <c r="F707" s="5"/>
      <c r="G707" s="5"/>
      <c r="H707" s="5"/>
      <c r="I707" s="92"/>
      <c r="J707" s="92"/>
      <c r="K707" s="92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>
      <c r="A708" s="5"/>
      <c r="B708" s="5"/>
      <c r="C708" s="5"/>
      <c r="D708" s="5"/>
      <c r="E708" s="5"/>
      <c r="F708" s="5"/>
      <c r="G708" s="5"/>
      <c r="H708" s="5"/>
      <c r="I708" s="92"/>
      <c r="J708" s="92"/>
      <c r="K708" s="92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>
      <c r="A709" s="5"/>
      <c r="B709" s="5"/>
      <c r="C709" s="5"/>
      <c r="D709" s="5"/>
      <c r="E709" s="5"/>
      <c r="F709" s="5"/>
      <c r="G709" s="5"/>
      <c r="H709" s="5"/>
      <c r="I709" s="92"/>
      <c r="J709" s="92"/>
      <c r="K709" s="92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>
      <c r="A710" s="5"/>
      <c r="B710" s="5"/>
      <c r="C710" s="5"/>
      <c r="D710" s="5"/>
      <c r="E710" s="5"/>
      <c r="F710" s="5"/>
      <c r="G710" s="5"/>
      <c r="H710" s="5"/>
      <c r="I710" s="92"/>
      <c r="J710" s="92"/>
      <c r="K710" s="92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>
      <c r="A711" s="5"/>
      <c r="B711" s="5"/>
      <c r="C711" s="5"/>
      <c r="D711" s="5"/>
      <c r="E711" s="5"/>
      <c r="F711" s="5"/>
      <c r="G711" s="5"/>
      <c r="H711" s="5"/>
      <c r="I711" s="92"/>
      <c r="J711" s="92"/>
      <c r="K711" s="92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>
      <c r="A712" s="5"/>
      <c r="B712" s="5"/>
      <c r="C712" s="5"/>
      <c r="D712" s="5"/>
      <c r="E712" s="5"/>
      <c r="F712" s="5"/>
      <c r="G712" s="5"/>
      <c r="H712" s="5"/>
      <c r="I712" s="92"/>
      <c r="J712" s="92"/>
      <c r="K712" s="92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>
      <c r="A713" s="5"/>
      <c r="B713" s="5"/>
      <c r="C713" s="5"/>
      <c r="D713" s="5"/>
      <c r="E713" s="5"/>
      <c r="F713" s="5"/>
      <c r="G713" s="5"/>
      <c r="H713" s="5"/>
      <c r="I713" s="92"/>
      <c r="J713" s="92"/>
      <c r="K713" s="92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>
      <c r="A714" s="5"/>
      <c r="B714" s="5"/>
      <c r="C714" s="5"/>
      <c r="D714" s="5"/>
      <c r="E714" s="5"/>
      <c r="F714" s="5"/>
      <c r="G714" s="5"/>
      <c r="H714" s="5"/>
      <c r="I714" s="92"/>
      <c r="J714" s="92"/>
      <c r="K714" s="92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>
      <c r="A715" s="5"/>
      <c r="B715" s="5"/>
      <c r="C715" s="5"/>
      <c r="D715" s="5"/>
      <c r="E715" s="5"/>
      <c r="F715" s="5"/>
      <c r="G715" s="5"/>
      <c r="H715" s="5"/>
      <c r="I715" s="92"/>
      <c r="J715" s="92"/>
      <c r="K715" s="92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>
      <c r="A716" s="5"/>
      <c r="B716" s="5"/>
      <c r="C716" s="5"/>
      <c r="D716" s="5"/>
      <c r="E716" s="5"/>
      <c r="F716" s="5"/>
      <c r="G716" s="5"/>
      <c r="H716" s="5"/>
      <c r="I716" s="92"/>
      <c r="J716" s="92"/>
      <c r="K716" s="92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>
      <c r="A717" s="5"/>
      <c r="B717" s="5"/>
      <c r="C717" s="5"/>
      <c r="D717" s="5"/>
      <c r="E717" s="5"/>
      <c r="F717" s="5"/>
      <c r="G717" s="5"/>
      <c r="H717" s="5"/>
      <c r="I717" s="92"/>
      <c r="J717" s="92"/>
      <c r="K717" s="92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>
      <c r="A718" s="5"/>
      <c r="B718" s="5"/>
      <c r="C718" s="5"/>
      <c r="D718" s="5"/>
      <c r="E718" s="5"/>
      <c r="F718" s="5"/>
      <c r="G718" s="5"/>
      <c r="H718" s="5"/>
      <c r="I718" s="92"/>
      <c r="J718" s="92"/>
      <c r="K718" s="92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>
      <c r="A719" s="5"/>
      <c r="B719" s="5"/>
      <c r="C719" s="5"/>
      <c r="D719" s="5"/>
      <c r="E719" s="5"/>
      <c r="F719" s="5"/>
      <c r="G719" s="5"/>
      <c r="H719" s="5"/>
      <c r="I719" s="92"/>
      <c r="J719" s="92"/>
      <c r="K719" s="92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>
      <c r="A720" s="5"/>
      <c r="B720" s="5"/>
      <c r="C720" s="5"/>
      <c r="D720" s="5"/>
      <c r="E720" s="5"/>
      <c r="F720" s="5"/>
      <c r="G720" s="5"/>
      <c r="H720" s="5"/>
      <c r="I720" s="92"/>
      <c r="J720" s="92"/>
      <c r="K720" s="92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>
      <c r="A721" s="5"/>
      <c r="B721" s="5"/>
      <c r="C721" s="5"/>
      <c r="D721" s="5"/>
      <c r="E721" s="5"/>
      <c r="F721" s="5"/>
      <c r="G721" s="5"/>
      <c r="H721" s="5"/>
      <c r="I721" s="92"/>
      <c r="J721" s="92"/>
      <c r="K721" s="92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>
      <c r="A722" s="5"/>
      <c r="B722" s="5"/>
      <c r="C722" s="5"/>
      <c r="D722" s="5"/>
      <c r="E722" s="5"/>
      <c r="F722" s="5"/>
      <c r="G722" s="5"/>
      <c r="H722" s="5"/>
      <c r="I722" s="92"/>
      <c r="J722" s="92"/>
      <c r="K722" s="92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>
      <c r="A723" s="5"/>
      <c r="B723" s="5"/>
      <c r="C723" s="5"/>
      <c r="D723" s="5"/>
      <c r="E723" s="5"/>
      <c r="F723" s="5"/>
      <c r="G723" s="5"/>
      <c r="H723" s="5"/>
      <c r="I723" s="92"/>
      <c r="J723" s="92"/>
      <c r="K723" s="92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>
      <c r="A724" s="5"/>
      <c r="B724" s="5"/>
      <c r="C724" s="5"/>
      <c r="D724" s="5"/>
      <c r="E724" s="5"/>
      <c r="F724" s="5"/>
      <c r="G724" s="5"/>
      <c r="H724" s="5"/>
      <c r="I724" s="92"/>
      <c r="J724" s="92"/>
      <c r="K724" s="92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>
      <c r="A725" s="5"/>
      <c r="B725" s="5"/>
      <c r="C725" s="5"/>
      <c r="D725" s="5"/>
      <c r="E725" s="5"/>
      <c r="F725" s="5"/>
      <c r="G725" s="5"/>
      <c r="H725" s="5"/>
      <c r="I725" s="92"/>
      <c r="J725" s="92"/>
      <c r="K725" s="92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>
      <c r="A726" s="5"/>
      <c r="B726" s="5"/>
      <c r="C726" s="5"/>
      <c r="D726" s="5"/>
      <c r="E726" s="5"/>
      <c r="F726" s="5"/>
      <c r="G726" s="5"/>
      <c r="H726" s="5"/>
      <c r="I726" s="92"/>
      <c r="J726" s="92"/>
      <c r="K726" s="92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>
      <c r="A727" s="5"/>
      <c r="B727" s="5"/>
      <c r="C727" s="5"/>
      <c r="D727" s="5"/>
      <c r="E727" s="5"/>
      <c r="F727" s="5"/>
      <c r="G727" s="5"/>
      <c r="H727" s="5"/>
      <c r="I727" s="92"/>
      <c r="J727" s="92"/>
      <c r="K727" s="92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>
      <c r="A728" s="5"/>
      <c r="B728" s="5"/>
      <c r="C728" s="5"/>
      <c r="D728" s="5"/>
      <c r="E728" s="5"/>
      <c r="F728" s="5"/>
      <c r="G728" s="5"/>
      <c r="H728" s="5"/>
      <c r="I728" s="92"/>
      <c r="J728" s="92"/>
      <c r="K728" s="92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>
      <c r="A729" s="5"/>
      <c r="B729" s="5"/>
      <c r="C729" s="5"/>
      <c r="D729" s="5"/>
      <c r="E729" s="5"/>
      <c r="F729" s="5"/>
      <c r="G729" s="5"/>
      <c r="H729" s="5"/>
      <c r="I729" s="92"/>
      <c r="J729" s="92"/>
      <c r="K729" s="92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>
      <c r="A730" s="5"/>
      <c r="B730" s="5"/>
      <c r="C730" s="5"/>
      <c r="D730" s="5"/>
      <c r="E730" s="5"/>
      <c r="F730" s="5"/>
      <c r="G730" s="5"/>
      <c r="H730" s="5"/>
      <c r="I730" s="92"/>
      <c r="J730" s="92"/>
      <c r="K730" s="92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>
      <c r="A731" s="5"/>
      <c r="B731" s="5"/>
      <c r="C731" s="5"/>
      <c r="D731" s="5"/>
      <c r="E731" s="5"/>
      <c r="F731" s="5"/>
      <c r="G731" s="5"/>
      <c r="H731" s="5"/>
      <c r="I731" s="92"/>
      <c r="J731" s="92"/>
      <c r="K731" s="92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>
      <c r="A732" s="5"/>
      <c r="B732" s="5"/>
      <c r="C732" s="5"/>
      <c r="D732" s="5"/>
      <c r="E732" s="5"/>
      <c r="F732" s="5"/>
      <c r="G732" s="5"/>
      <c r="H732" s="5"/>
      <c r="I732" s="92"/>
      <c r="J732" s="92"/>
      <c r="K732" s="92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>
      <c r="A733" s="5"/>
      <c r="B733" s="5"/>
      <c r="C733" s="5"/>
      <c r="D733" s="5"/>
      <c r="E733" s="5"/>
      <c r="F733" s="5"/>
      <c r="G733" s="5"/>
      <c r="H733" s="5"/>
      <c r="I733" s="92"/>
      <c r="J733" s="92"/>
      <c r="K733" s="92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>
      <c r="A734" s="5"/>
      <c r="B734" s="5"/>
      <c r="C734" s="5"/>
      <c r="D734" s="5"/>
      <c r="E734" s="5"/>
      <c r="F734" s="5"/>
      <c r="G734" s="5"/>
      <c r="H734" s="5"/>
      <c r="I734" s="92"/>
      <c r="J734" s="92"/>
      <c r="K734" s="92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>
      <c r="A735" s="5"/>
      <c r="B735" s="5"/>
      <c r="C735" s="5"/>
      <c r="D735" s="5"/>
      <c r="E735" s="5"/>
      <c r="F735" s="5"/>
      <c r="G735" s="5"/>
      <c r="H735" s="5"/>
      <c r="I735" s="92"/>
      <c r="J735" s="92"/>
      <c r="K735" s="92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>
      <c r="A736" s="5"/>
      <c r="B736" s="5"/>
      <c r="C736" s="5"/>
      <c r="D736" s="5"/>
      <c r="E736" s="5"/>
      <c r="F736" s="5"/>
      <c r="G736" s="5"/>
      <c r="H736" s="5"/>
      <c r="I736" s="92"/>
      <c r="J736" s="92"/>
      <c r="K736" s="92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>
      <c r="A737" s="5"/>
      <c r="B737" s="5"/>
      <c r="C737" s="5"/>
      <c r="D737" s="5"/>
      <c r="E737" s="5"/>
      <c r="F737" s="5"/>
      <c r="G737" s="5"/>
      <c r="H737" s="5"/>
      <c r="I737" s="92"/>
      <c r="J737" s="92"/>
      <c r="K737" s="92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>
      <c r="A738" s="5"/>
      <c r="B738" s="5"/>
      <c r="C738" s="5"/>
      <c r="D738" s="5"/>
      <c r="E738" s="5"/>
      <c r="F738" s="5"/>
      <c r="G738" s="5"/>
      <c r="H738" s="5"/>
      <c r="I738" s="92"/>
      <c r="J738" s="92"/>
      <c r="K738" s="92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>
      <c r="A739" s="5"/>
      <c r="B739" s="5"/>
      <c r="C739" s="5"/>
      <c r="D739" s="5"/>
      <c r="E739" s="5"/>
      <c r="F739" s="5"/>
      <c r="G739" s="5"/>
      <c r="H739" s="5"/>
      <c r="I739" s="92"/>
      <c r="J739" s="92"/>
      <c r="K739" s="92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>
      <c r="A740" s="5"/>
      <c r="B740" s="5"/>
      <c r="C740" s="5"/>
      <c r="D740" s="5"/>
      <c r="E740" s="5"/>
      <c r="F740" s="5"/>
      <c r="G740" s="5"/>
      <c r="H740" s="5"/>
      <c r="I740" s="92"/>
      <c r="J740" s="92"/>
      <c r="K740" s="92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>
      <c r="A741" s="5"/>
      <c r="B741" s="5"/>
      <c r="C741" s="5"/>
      <c r="D741" s="5"/>
      <c r="E741" s="5"/>
      <c r="F741" s="5"/>
      <c r="G741" s="5"/>
      <c r="H741" s="5"/>
      <c r="I741" s="92"/>
      <c r="J741" s="92"/>
      <c r="K741" s="92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>
      <c r="A742" s="5"/>
      <c r="B742" s="5"/>
      <c r="C742" s="5"/>
      <c r="D742" s="5"/>
      <c r="E742" s="5"/>
      <c r="F742" s="5"/>
      <c r="G742" s="5"/>
      <c r="H742" s="5"/>
      <c r="I742" s="92"/>
      <c r="J742" s="92"/>
      <c r="K742" s="92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>
      <c r="A743" s="5"/>
      <c r="B743" s="5"/>
      <c r="C743" s="5"/>
      <c r="D743" s="5"/>
      <c r="E743" s="5"/>
      <c r="F743" s="5"/>
      <c r="G743" s="5"/>
      <c r="H743" s="5"/>
      <c r="I743" s="92"/>
      <c r="J743" s="92"/>
      <c r="K743" s="92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>
      <c r="A744" s="5"/>
      <c r="B744" s="5"/>
      <c r="C744" s="5"/>
      <c r="D744" s="5"/>
      <c r="E744" s="5"/>
      <c r="F744" s="5"/>
      <c r="G744" s="5"/>
      <c r="H744" s="5"/>
      <c r="I744" s="92"/>
      <c r="J744" s="92"/>
      <c r="K744" s="92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>
      <c r="A745" s="5"/>
      <c r="B745" s="5"/>
      <c r="C745" s="5"/>
      <c r="D745" s="5"/>
      <c r="E745" s="5"/>
      <c r="F745" s="5"/>
      <c r="G745" s="5"/>
      <c r="H745" s="5"/>
      <c r="I745" s="92"/>
      <c r="J745" s="92"/>
      <c r="K745" s="92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>
      <c r="A746" s="5"/>
      <c r="B746" s="5"/>
      <c r="C746" s="5"/>
      <c r="D746" s="5"/>
      <c r="E746" s="5"/>
      <c r="F746" s="5"/>
      <c r="G746" s="5"/>
      <c r="H746" s="5"/>
      <c r="I746" s="92"/>
      <c r="J746" s="92"/>
      <c r="K746" s="92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>
      <c r="A747" s="5"/>
      <c r="B747" s="5"/>
      <c r="C747" s="5"/>
      <c r="D747" s="5"/>
      <c r="E747" s="5"/>
      <c r="F747" s="5"/>
      <c r="G747" s="5"/>
      <c r="H747" s="5"/>
      <c r="I747" s="92"/>
      <c r="J747" s="92"/>
      <c r="K747" s="92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>
      <c r="A748" s="5"/>
      <c r="B748" s="5"/>
      <c r="C748" s="5"/>
      <c r="D748" s="5"/>
      <c r="E748" s="5"/>
      <c r="F748" s="5"/>
      <c r="G748" s="5"/>
      <c r="H748" s="5"/>
      <c r="I748" s="92"/>
      <c r="J748" s="92"/>
      <c r="K748" s="92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>
      <c r="A749" s="5"/>
      <c r="B749" s="5"/>
      <c r="C749" s="5"/>
      <c r="D749" s="5"/>
      <c r="E749" s="5"/>
      <c r="F749" s="5"/>
      <c r="G749" s="5"/>
      <c r="H749" s="5"/>
      <c r="I749" s="92"/>
      <c r="J749" s="92"/>
      <c r="K749" s="92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>
      <c r="A750" s="5"/>
      <c r="B750" s="5"/>
      <c r="C750" s="5"/>
      <c r="D750" s="5"/>
      <c r="E750" s="5"/>
      <c r="F750" s="5"/>
      <c r="G750" s="5"/>
      <c r="H750" s="5"/>
      <c r="I750" s="92"/>
      <c r="J750" s="92"/>
      <c r="K750" s="92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>
      <c r="A751" s="5"/>
      <c r="B751" s="5"/>
      <c r="C751" s="5"/>
      <c r="D751" s="5"/>
      <c r="E751" s="5"/>
      <c r="F751" s="5"/>
      <c r="G751" s="5"/>
      <c r="H751" s="5"/>
      <c r="I751" s="92"/>
      <c r="J751" s="92"/>
      <c r="K751" s="92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>
      <c r="A752" s="5"/>
      <c r="B752" s="5"/>
      <c r="C752" s="5"/>
      <c r="D752" s="5"/>
      <c r="E752" s="5"/>
      <c r="F752" s="5"/>
      <c r="G752" s="5"/>
      <c r="H752" s="5"/>
      <c r="I752" s="92"/>
      <c r="J752" s="92"/>
      <c r="K752" s="92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>
      <c r="A753" s="5"/>
      <c r="B753" s="5"/>
      <c r="C753" s="5"/>
      <c r="D753" s="5"/>
      <c r="E753" s="5"/>
      <c r="F753" s="5"/>
      <c r="G753" s="5"/>
      <c r="H753" s="5"/>
      <c r="I753" s="92"/>
      <c r="J753" s="92"/>
      <c r="K753" s="92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>
      <c r="A754" s="5"/>
      <c r="B754" s="5"/>
      <c r="C754" s="5"/>
      <c r="D754" s="5"/>
      <c r="E754" s="5"/>
      <c r="F754" s="5"/>
      <c r="G754" s="5"/>
      <c r="H754" s="5"/>
      <c r="I754" s="92"/>
      <c r="J754" s="92"/>
      <c r="K754" s="92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>
      <c r="A755" s="5"/>
      <c r="B755" s="5"/>
      <c r="C755" s="5"/>
      <c r="D755" s="5"/>
      <c r="E755" s="5"/>
      <c r="F755" s="5"/>
      <c r="G755" s="5"/>
      <c r="H755" s="5"/>
      <c r="I755" s="92"/>
      <c r="J755" s="92"/>
      <c r="K755" s="92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>
      <c r="A756" s="5"/>
      <c r="B756" s="5"/>
      <c r="C756" s="5"/>
      <c r="D756" s="5"/>
      <c r="E756" s="5"/>
      <c r="F756" s="5"/>
      <c r="G756" s="5"/>
      <c r="H756" s="5"/>
      <c r="I756" s="92"/>
      <c r="J756" s="92"/>
      <c r="K756" s="92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>
      <c r="A757" s="5"/>
      <c r="B757" s="5"/>
      <c r="C757" s="5"/>
      <c r="D757" s="5"/>
      <c r="E757" s="5"/>
      <c r="F757" s="5"/>
      <c r="G757" s="5"/>
      <c r="H757" s="5"/>
      <c r="I757" s="92"/>
      <c r="J757" s="92"/>
      <c r="K757" s="92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>
      <c r="A758" s="5"/>
      <c r="B758" s="5"/>
      <c r="C758" s="5"/>
      <c r="D758" s="5"/>
      <c r="E758" s="5"/>
      <c r="F758" s="5"/>
      <c r="G758" s="5"/>
      <c r="H758" s="5"/>
      <c r="I758" s="92"/>
      <c r="J758" s="92"/>
      <c r="K758" s="92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>
      <c r="A759" s="5"/>
      <c r="B759" s="5"/>
      <c r="C759" s="5"/>
      <c r="D759" s="5"/>
      <c r="E759" s="5"/>
      <c r="F759" s="5"/>
      <c r="G759" s="5"/>
      <c r="H759" s="5"/>
      <c r="I759" s="92"/>
      <c r="J759" s="92"/>
      <c r="K759" s="92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>
      <c r="A760" s="5"/>
      <c r="B760" s="5"/>
      <c r="C760" s="5"/>
      <c r="D760" s="5"/>
      <c r="E760" s="5"/>
      <c r="F760" s="5"/>
      <c r="G760" s="5"/>
      <c r="H760" s="5"/>
      <c r="I760" s="92"/>
      <c r="J760" s="92"/>
      <c r="K760" s="92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>
      <c r="A761" s="5"/>
      <c r="B761" s="5"/>
      <c r="C761" s="5"/>
      <c r="D761" s="5"/>
      <c r="E761" s="5"/>
      <c r="F761" s="5"/>
      <c r="G761" s="5"/>
      <c r="H761" s="5"/>
      <c r="I761" s="92"/>
      <c r="J761" s="92"/>
      <c r="K761" s="92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>
      <c r="A762" s="5"/>
      <c r="B762" s="5"/>
      <c r="C762" s="5"/>
      <c r="D762" s="5"/>
      <c r="E762" s="5"/>
      <c r="F762" s="5"/>
      <c r="G762" s="5"/>
      <c r="H762" s="5"/>
      <c r="I762" s="92"/>
      <c r="J762" s="92"/>
      <c r="K762" s="92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>
      <c r="A763" s="5"/>
      <c r="B763" s="5"/>
      <c r="C763" s="5"/>
      <c r="D763" s="5"/>
      <c r="E763" s="5"/>
      <c r="F763" s="5"/>
      <c r="G763" s="5"/>
      <c r="H763" s="5"/>
      <c r="I763" s="92"/>
      <c r="J763" s="92"/>
      <c r="K763" s="92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>
      <c r="A764" s="5"/>
      <c r="B764" s="5"/>
      <c r="C764" s="5"/>
      <c r="D764" s="5"/>
      <c r="E764" s="5"/>
      <c r="F764" s="5"/>
      <c r="G764" s="5"/>
      <c r="H764" s="5"/>
      <c r="I764" s="92"/>
      <c r="J764" s="92"/>
      <c r="K764" s="92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>
      <c r="A765" s="5"/>
      <c r="B765" s="5"/>
      <c r="C765" s="5"/>
      <c r="D765" s="5"/>
      <c r="E765" s="5"/>
      <c r="F765" s="5"/>
      <c r="G765" s="5"/>
      <c r="H765" s="5"/>
      <c r="I765" s="92"/>
      <c r="J765" s="92"/>
      <c r="K765" s="92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>
      <c r="A766" s="5"/>
      <c r="B766" s="5"/>
      <c r="C766" s="5"/>
      <c r="D766" s="5"/>
      <c r="E766" s="5"/>
      <c r="F766" s="5"/>
      <c r="G766" s="5"/>
      <c r="H766" s="5"/>
      <c r="I766" s="92"/>
      <c r="J766" s="92"/>
      <c r="K766" s="92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>
      <c r="A767" s="5"/>
      <c r="B767" s="5"/>
      <c r="C767" s="5"/>
      <c r="D767" s="5"/>
      <c r="E767" s="5"/>
      <c r="F767" s="5"/>
      <c r="G767" s="5"/>
      <c r="H767" s="5"/>
      <c r="I767" s="92"/>
      <c r="J767" s="92"/>
      <c r="K767" s="92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>
      <c r="A768" s="5"/>
      <c r="B768" s="5"/>
      <c r="C768" s="5"/>
      <c r="D768" s="5"/>
      <c r="E768" s="5"/>
      <c r="F768" s="5"/>
      <c r="G768" s="5"/>
      <c r="H768" s="5"/>
      <c r="I768" s="92"/>
      <c r="J768" s="92"/>
      <c r="K768" s="92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>
      <c r="A769" s="5"/>
      <c r="B769" s="5"/>
      <c r="C769" s="5"/>
      <c r="D769" s="5"/>
      <c r="E769" s="5"/>
      <c r="F769" s="5"/>
      <c r="G769" s="5"/>
      <c r="H769" s="5"/>
      <c r="I769" s="92"/>
      <c r="J769" s="92"/>
      <c r="K769" s="92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>
      <c r="A770" s="5"/>
      <c r="B770" s="5"/>
      <c r="C770" s="5"/>
      <c r="D770" s="5"/>
      <c r="E770" s="5"/>
      <c r="F770" s="5"/>
      <c r="G770" s="5"/>
      <c r="H770" s="5"/>
      <c r="I770" s="92"/>
      <c r="J770" s="92"/>
      <c r="K770" s="92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>
      <c r="A771" s="5"/>
      <c r="B771" s="5"/>
      <c r="C771" s="5"/>
      <c r="D771" s="5"/>
      <c r="E771" s="5"/>
      <c r="F771" s="5"/>
      <c r="G771" s="5"/>
      <c r="H771" s="5"/>
      <c r="I771" s="92"/>
      <c r="J771" s="92"/>
      <c r="K771" s="92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>
      <c r="A772" s="5"/>
      <c r="B772" s="5"/>
      <c r="C772" s="5"/>
      <c r="D772" s="5"/>
      <c r="E772" s="5"/>
      <c r="F772" s="5"/>
      <c r="G772" s="5"/>
      <c r="H772" s="5"/>
      <c r="I772" s="92"/>
      <c r="J772" s="92"/>
      <c r="K772" s="92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>
      <c r="A773" s="5"/>
      <c r="B773" s="5"/>
      <c r="C773" s="5"/>
      <c r="D773" s="5"/>
      <c r="E773" s="5"/>
      <c r="F773" s="5"/>
      <c r="G773" s="5"/>
      <c r="H773" s="5"/>
      <c r="I773" s="92"/>
      <c r="J773" s="92"/>
      <c r="K773" s="92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>
      <c r="A774" s="5"/>
      <c r="B774" s="5"/>
      <c r="C774" s="5"/>
      <c r="D774" s="5"/>
      <c r="E774" s="5"/>
      <c r="F774" s="5"/>
      <c r="G774" s="5"/>
      <c r="H774" s="5"/>
      <c r="I774" s="92"/>
      <c r="J774" s="92"/>
      <c r="K774" s="92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>
      <c r="A775" s="5"/>
      <c r="B775" s="5"/>
      <c r="C775" s="5"/>
      <c r="D775" s="5"/>
      <c r="E775" s="5"/>
      <c r="F775" s="5"/>
      <c r="G775" s="5"/>
      <c r="H775" s="5"/>
      <c r="I775" s="92"/>
      <c r="J775" s="92"/>
      <c r="K775" s="92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>
      <c r="A776" s="5"/>
      <c r="B776" s="5"/>
      <c r="C776" s="5"/>
      <c r="D776" s="5"/>
      <c r="E776" s="5"/>
      <c r="F776" s="5"/>
      <c r="G776" s="5"/>
      <c r="H776" s="5"/>
      <c r="I776" s="92"/>
      <c r="J776" s="92"/>
      <c r="K776" s="92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>
      <c r="A777" s="5"/>
      <c r="B777" s="5"/>
      <c r="C777" s="5"/>
      <c r="D777" s="5"/>
      <c r="E777" s="5"/>
      <c r="F777" s="5"/>
      <c r="G777" s="5"/>
      <c r="H777" s="5"/>
      <c r="I777" s="92"/>
      <c r="J777" s="92"/>
      <c r="K777" s="92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>
      <c r="A778" s="5"/>
      <c r="B778" s="5"/>
      <c r="C778" s="5"/>
      <c r="D778" s="5"/>
      <c r="E778" s="5"/>
      <c r="F778" s="5"/>
      <c r="G778" s="5"/>
      <c r="H778" s="5"/>
      <c r="I778" s="92"/>
      <c r="J778" s="92"/>
      <c r="K778" s="92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>
      <c r="A779" s="5"/>
      <c r="B779" s="5"/>
      <c r="C779" s="5"/>
      <c r="D779" s="5"/>
      <c r="E779" s="5"/>
      <c r="F779" s="5"/>
      <c r="G779" s="5"/>
      <c r="H779" s="5"/>
      <c r="I779" s="92"/>
      <c r="J779" s="92"/>
      <c r="K779" s="92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>
      <c r="A780" s="5"/>
      <c r="B780" s="5"/>
      <c r="C780" s="5"/>
      <c r="D780" s="5"/>
      <c r="E780" s="5"/>
      <c r="F780" s="5"/>
      <c r="G780" s="5"/>
      <c r="H780" s="5"/>
      <c r="I780" s="92"/>
      <c r="J780" s="92"/>
      <c r="K780" s="92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>
      <c r="A781" s="5"/>
      <c r="B781" s="5"/>
      <c r="C781" s="5"/>
      <c r="D781" s="5"/>
      <c r="E781" s="5"/>
      <c r="F781" s="5"/>
      <c r="G781" s="5"/>
      <c r="H781" s="5"/>
      <c r="I781" s="92"/>
      <c r="J781" s="92"/>
      <c r="K781" s="92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>
      <c r="A782" s="5"/>
      <c r="B782" s="5"/>
      <c r="C782" s="5"/>
      <c r="D782" s="5"/>
      <c r="E782" s="5"/>
      <c r="F782" s="5"/>
      <c r="G782" s="5"/>
      <c r="H782" s="5"/>
      <c r="I782" s="92"/>
      <c r="J782" s="92"/>
      <c r="K782" s="92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>
      <c r="A783" s="5"/>
      <c r="B783" s="5"/>
      <c r="C783" s="5"/>
      <c r="D783" s="5"/>
      <c r="E783" s="5"/>
      <c r="F783" s="5"/>
      <c r="G783" s="5"/>
      <c r="H783" s="5"/>
      <c r="I783" s="92"/>
      <c r="J783" s="92"/>
      <c r="K783" s="92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>
      <c r="A784" s="5"/>
      <c r="B784" s="5"/>
      <c r="C784" s="5"/>
      <c r="D784" s="5"/>
      <c r="E784" s="5"/>
      <c r="F784" s="5"/>
      <c r="G784" s="5"/>
      <c r="H784" s="5"/>
      <c r="I784" s="92"/>
      <c r="J784" s="92"/>
      <c r="K784" s="92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>
      <c r="A785" s="5"/>
      <c r="B785" s="5"/>
      <c r="C785" s="5"/>
      <c r="D785" s="5"/>
      <c r="E785" s="5"/>
      <c r="F785" s="5"/>
      <c r="G785" s="5"/>
      <c r="H785" s="5"/>
      <c r="I785" s="92"/>
      <c r="J785" s="92"/>
      <c r="K785" s="92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>
      <c r="A786" s="5"/>
      <c r="B786" s="5"/>
      <c r="C786" s="5"/>
      <c r="D786" s="5"/>
      <c r="E786" s="5"/>
      <c r="F786" s="5"/>
      <c r="G786" s="5"/>
      <c r="H786" s="5"/>
      <c r="I786" s="92"/>
      <c r="J786" s="92"/>
      <c r="K786" s="92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>
      <c r="A787" s="5"/>
      <c r="B787" s="5"/>
      <c r="C787" s="5"/>
      <c r="D787" s="5"/>
      <c r="E787" s="5"/>
      <c r="F787" s="5"/>
      <c r="G787" s="5"/>
      <c r="H787" s="5"/>
      <c r="I787" s="92"/>
      <c r="J787" s="92"/>
      <c r="K787" s="92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>
      <c r="A788" s="5"/>
      <c r="B788" s="5"/>
      <c r="C788" s="5"/>
      <c r="D788" s="5"/>
      <c r="E788" s="5"/>
      <c r="F788" s="5"/>
      <c r="G788" s="5"/>
      <c r="H788" s="5"/>
      <c r="I788" s="92"/>
      <c r="J788" s="92"/>
      <c r="K788" s="92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>
      <c r="A789" s="5"/>
      <c r="B789" s="5"/>
      <c r="C789" s="5"/>
      <c r="D789" s="5"/>
      <c r="E789" s="5"/>
      <c r="F789" s="5"/>
      <c r="G789" s="5"/>
      <c r="H789" s="5"/>
      <c r="I789" s="92"/>
      <c r="J789" s="92"/>
      <c r="K789" s="92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>
      <c r="A790" s="5"/>
      <c r="B790" s="5"/>
      <c r="C790" s="5"/>
      <c r="D790" s="5"/>
      <c r="E790" s="5"/>
      <c r="F790" s="5"/>
      <c r="G790" s="5"/>
      <c r="H790" s="5"/>
      <c r="I790" s="92"/>
      <c r="J790" s="92"/>
      <c r="K790" s="92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>
      <c r="A791" s="5"/>
      <c r="B791" s="5"/>
      <c r="C791" s="5"/>
      <c r="D791" s="5"/>
      <c r="E791" s="5"/>
      <c r="F791" s="5"/>
      <c r="G791" s="5"/>
      <c r="H791" s="5"/>
      <c r="I791" s="92"/>
      <c r="J791" s="92"/>
      <c r="K791" s="92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>
      <c r="A792" s="5"/>
      <c r="B792" s="5"/>
      <c r="C792" s="5"/>
      <c r="D792" s="5"/>
      <c r="E792" s="5"/>
      <c r="F792" s="5"/>
      <c r="G792" s="5"/>
      <c r="H792" s="5"/>
      <c r="I792" s="92"/>
      <c r="J792" s="92"/>
      <c r="K792" s="92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>
      <c r="A793" s="5"/>
      <c r="B793" s="5"/>
      <c r="C793" s="5"/>
      <c r="D793" s="5"/>
      <c r="E793" s="5"/>
      <c r="F793" s="5"/>
      <c r="G793" s="5"/>
      <c r="H793" s="5"/>
      <c r="I793" s="92"/>
      <c r="J793" s="92"/>
      <c r="K793" s="92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>
      <c r="A794" s="5"/>
      <c r="B794" s="5"/>
      <c r="C794" s="5"/>
      <c r="D794" s="5"/>
      <c r="E794" s="5"/>
      <c r="F794" s="5"/>
      <c r="G794" s="5"/>
      <c r="H794" s="5"/>
      <c r="I794" s="92"/>
      <c r="J794" s="92"/>
      <c r="K794" s="92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>
      <c r="A795" s="5"/>
      <c r="B795" s="5"/>
      <c r="C795" s="5"/>
      <c r="D795" s="5"/>
      <c r="E795" s="5"/>
      <c r="F795" s="5"/>
      <c r="G795" s="5"/>
      <c r="H795" s="5"/>
      <c r="I795" s="92"/>
      <c r="J795" s="92"/>
      <c r="K795" s="92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>
      <c r="A796" s="5"/>
      <c r="B796" s="5"/>
      <c r="C796" s="5"/>
      <c r="D796" s="5"/>
      <c r="E796" s="5"/>
      <c r="F796" s="5"/>
      <c r="G796" s="5"/>
      <c r="H796" s="5"/>
      <c r="I796" s="92"/>
      <c r="J796" s="92"/>
      <c r="K796" s="92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>
      <c r="A797" s="5"/>
      <c r="B797" s="5"/>
      <c r="C797" s="5"/>
      <c r="D797" s="5"/>
      <c r="E797" s="5"/>
      <c r="F797" s="5"/>
      <c r="G797" s="5"/>
      <c r="H797" s="5"/>
      <c r="I797" s="92"/>
      <c r="J797" s="92"/>
      <c r="K797" s="92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>
      <c r="A798" s="5"/>
      <c r="B798" s="5"/>
      <c r="C798" s="5"/>
      <c r="D798" s="5"/>
      <c r="E798" s="5"/>
      <c r="F798" s="5"/>
      <c r="G798" s="5"/>
      <c r="H798" s="5"/>
      <c r="I798" s="92"/>
      <c r="J798" s="92"/>
      <c r="K798" s="92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>
      <c r="A799" s="5"/>
      <c r="B799" s="5"/>
      <c r="C799" s="5"/>
      <c r="D799" s="5"/>
      <c r="E799" s="5"/>
      <c r="F799" s="5"/>
      <c r="G799" s="5"/>
      <c r="H799" s="5"/>
      <c r="I799" s="92"/>
      <c r="J799" s="92"/>
      <c r="K799" s="92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>
      <c r="A800" s="5"/>
      <c r="B800" s="5"/>
      <c r="C800" s="5"/>
      <c r="D800" s="5"/>
      <c r="E800" s="5"/>
      <c r="F800" s="5"/>
      <c r="G800" s="5"/>
      <c r="H800" s="5"/>
      <c r="I800" s="92"/>
      <c r="J800" s="92"/>
      <c r="K800" s="92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>
      <c r="A801" s="5"/>
      <c r="B801" s="5"/>
      <c r="C801" s="5"/>
      <c r="D801" s="5"/>
      <c r="E801" s="5"/>
      <c r="F801" s="5"/>
      <c r="G801" s="5"/>
      <c r="H801" s="5"/>
      <c r="I801" s="92"/>
      <c r="J801" s="92"/>
      <c r="K801" s="92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>
      <c r="A802" s="5"/>
      <c r="B802" s="5"/>
      <c r="C802" s="5"/>
      <c r="D802" s="5"/>
      <c r="E802" s="5"/>
      <c r="F802" s="5"/>
      <c r="G802" s="5"/>
      <c r="H802" s="5"/>
      <c r="I802" s="92"/>
      <c r="J802" s="92"/>
      <c r="K802" s="92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>
      <c r="A803" s="5"/>
      <c r="B803" s="5"/>
      <c r="C803" s="5"/>
      <c r="D803" s="5"/>
      <c r="E803" s="5"/>
      <c r="F803" s="5"/>
      <c r="G803" s="5"/>
      <c r="H803" s="5"/>
      <c r="I803" s="92"/>
      <c r="J803" s="92"/>
      <c r="K803" s="92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>
      <c r="A804" s="5"/>
      <c r="B804" s="5"/>
      <c r="C804" s="5"/>
      <c r="D804" s="5"/>
      <c r="E804" s="5"/>
      <c r="F804" s="5"/>
      <c r="G804" s="5"/>
      <c r="H804" s="5"/>
      <c r="I804" s="92"/>
      <c r="J804" s="92"/>
      <c r="K804" s="92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>
      <c r="A805" s="5"/>
      <c r="B805" s="5"/>
      <c r="C805" s="5"/>
      <c r="D805" s="5"/>
      <c r="E805" s="5"/>
      <c r="F805" s="5"/>
      <c r="G805" s="5"/>
      <c r="H805" s="5"/>
      <c r="I805" s="92"/>
      <c r="J805" s="92"/>
      <c r="K805" s="92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>
      <c r="A806" s="5"/>
      <c r="B806" s="5"/>
      <c r="C806" s="5"/>
      <c r="D806" s="5"/>
      <c r="E806" s="5"/>
      <c r="F806" s="5"/>
      <c r="G806" s="5"/>
      <c r="H806" s="5"/>
      <c r="I806" s="92"/>
      <c r="J806" s="92"/>
      <c r="K806" s="92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>
      <c r="A807" s="5"/>
      <c r="B807" s="5"/>
      <c r="C807" s="5"/>
      <c r="D807" s="5"/>
      <c r="E807" s="5"/>
      <c r="F807" s="5"/>
      <c r="G807" s="5"/>
      <c r="H807" s="5"/>
      <c r="I807" s="92"/>
      <c r="J807" s="92"/>
      <c r="K807" s="92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>
      <c r="A808" s="5"/>
      <c r="B808" s="5"/>
      <c r="C808" s="5"/>
      <c r="D808" s="5"/>
      <c r="E808" s="5"/>
      <c r="F808" s="5"/>
      <c r="G808" s="5"/>
      <c r="H808" s="5"/>
      <c r="I808" s="92"/>
      <c r="J808" s="92"/>
      <c r="K808" s="92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>
      <c r="A809" s="5"/>
      <c r="B809" s="5"/>
      <c r="C809" s="5"/>
      <c r="D809" s="5"/>
      <c r="E809" s="5"/>
      <c r="F809" s="5"/>
      <c r="G809" s="5"/>
      <c r="H809" s="5"/>
      <c r="I809" s="92"/>
      <c r="J809" s="92"/>
      <c r="K809" s="92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>
      <c r="A810" s="5"/>
      <c r="B810" s="5"/>
      <c r="C810" s="5"/>
      <c r="D810" s="5"/>
      <c r="E810" s="5"/>
      <c r="F810" s="5"/>
      <c r="G810" s="5"/>
      <c r="H810" s="5"/>
      <c r="I810" s="92"/>
      <c r="J810" s="92"/>
      <c r="K810" s="92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>
      <c r="A811" s="5"/>
      <c r="B811" s="5"/>
      <c r="C811" s="5"/>
      <c r="D811" s="5"/>
      <c r="E811" s="5"/>
      <c r="F811" s="5"/>
      <c r="G811" s="5"/>
      <c r="H811" s="5"/>
      <c r="I811" s="92"/>
      <c r="J811" s="92"/>
      <c r="K811" s="92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>
      <c r="A812" s="5"/>
      <c r="B812" s="5"/>
      <c r="C812" s="5"/>
      <c r="D812" s="5"/>
      <c r="E812" s="5"/>
      <c r="F812" s="5"/>
      <c r="G812" s="5"/>
      <c r="H812" s="5"/>
      <c r="I812" s="92"/>
      <c r="J812" s="92"/>
      <c r="K812" s="92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>
      <c r="A813" s="5"/>
      <c r="B813" s="5"/>
      <c r="C813" s="5"/>
      <c r="D813" s="5"/>
      <c r="E813" s="5"/>
      <c r="F813" s="5"/>
      <c r="G813" s="5"/>
      <c r="H813" s="5"/>
      <c r="I813" s="92"/>
      <c r="J813" s="92"/>
      <c r="K813" s="92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>
      <c r="A814" s="5"/>
      <c r="B814" s="5"/>
      <c r="C814" s="5"/>
      <c r="D814" s="5"/>
      <c r="E814" s="5"/>
      <c r="F814" s="5"/>
      <c r="G814" s="5"/>
      <c r="H814" s="5"/>
      <c r="I814" s="92"/>
      <c r="J814" s="92"/>
      <c r="K814" s="92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>
      <c r="A815" s="5"/>
      <c r="B815" s="5"/>
      <c r="C815" s="5"/>
      <c r="D815" s="5"/>
      <c r="E815" s="5"/>
      <c r="F815" s="5"/>
      <c r="G815" s="5"/>
      <c r="H815" s="5"/>
      <c r="I815" s="92"/>
      <c r="J815" s="92"/>
      <c r="K815" s="92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>
      <c r="A816" s="5"/>
      <c r="B816" s="5"/>
      <c r="C816" s="5"/>
      <c r="D816" s="5"/>
      <c r="E816" s="5"/>
      <c r="F816" s="5"/>
      <c r="G816" s="5"/>
      <c r="H816" s="5"/>
      <c r="I816" s="92"/>
      <c r="J816" s="92"/>
      <c r="K816" s="92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>
      <c r="A817" s="5"/>
      <c r="B817" s="5"/>
      <c r="C817" s="5"/>
      <c r="D817" s="5"/>
      <c r="E817" s="5"/>
      <c r="F817" s="5"/>
      <c r="G817" s="5"/>
      <c r="H817" s="5"/>
      <c r="I817" s="92"/>
      <c r="J817" s="92"/>
      <c r="K817" s="92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>
      <c r="A818" s="5"/>
      <c r="B818" s="5"/>
      <c r="C818" s="5"/>
      <c r="D818" s="5"/>
      <c r="E818" s="5"/>
      <c r="F818" s="5"/>
      <c r="G818" s="5"/>
      <c r="H818" s="5"/>
      <c r="I818" s="92"/>
      <c r="J818" s="92"/>
      <c r="K818" s="92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>
      <c r="A819" s="5"/>
      <c r="B819" s="5"/>
      <c r="C819" s="5"/>
      <c r="D819" s="5"/>
      <c r="E819" s="5"/>
      <c r="F819" s="5"/>
      <c r="G819" s="5"/>
      <c r="H819" s="5"/>
      <c r="I819" s="92"/>
      <c r="J819" s="92"/>
      <c r="K819" s="92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>
      <c r="A820" s="5"/>
      <c r="B820" s="5"/>
      <c r="C820" s="5"/>
      <c r="D820" s="5"/>
      <c r="E820" s="5"/>
      <c r="F820" s="5"/>
      <c r="G820" s="5"/>
      <c r="H820" s="5"/>
      <c r="I820" s="92"/>
      <c r="J820" s="92"/>
      <c r="K820" s="92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>
      <c r="A821" s="5"/>
      <c r="B821" s="5"/>
      <c r="C821" s="5"/>
      <c r="D821" s="5"/>
      <c r="E821" s="5"/>
      <c r="F821" s="5"/>
      <c r="G821" s="5"/>
      <c r="H821" s="5"/>
      <c r="I821" s="92"/>
      <c r="J821" s="92"/>
      <c r="K821" s="92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>
      <c r="A822" s="5"/>
      <c r="B822" s="5"/>
      <c r="C822" s="5"/>
      <c r="D822" s="5"/>
      <c r="E822" s="5"/>
      <c r="F822" s="5"/>
      <c r="G822" s="5"/>
      <c r="H822" s="5"/>
      <c r="I822" s="92"/>
      <c r="J822" s="92"/>
      <c r="K822" s="92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>
      <c r="A823" s="5"/>
      <c r="B823" s="5"/>
      <c r="C823" s="5"/>
      <c r="D823" s="5"/>
      <c r="E823" s="5"/>
      <c r="F823" s="5"/>
      <c r="G823" s="5"/>
      <c r="H823" s="5"/>
      <c r="I823" s="92"/>
      <c r="J823" s="92"/>
      <c r="K823" s="92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>
      <c r="A824" s="5"/>
      <c r="B824" s="5"/>
      <c r="C824" s="5"/>
      <c r="D824" s="5"/>
      <c r="E824" s="5"/>
      <c r="F824" s="5"/>
      <c r="G824" s="5"/>
      <c r="H824" s="5"/>
      <c r="I824" s="92"/>
      <c r="J824" s="92"/>
      <c r="K824" s="92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>
      <c r="A825" s="5"/>
      <c r="B825" s="5"/>
      <c r="C825" s="5"/>
      <c r="D825" s="5"/>
      <c r="E825" s="5"/>
      <c r="F825" s="5"/>
      <c r="G825" s="5"/>
      <c r="H825" s="5"/>
      <c r="I825" s="92"/>
      <c r="J825" s="92"/>
      <c r="K825" s="92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>
      <c r="A826" s="5"/>
      <c r="B826" s="5"/>
      <c r="C826" s="5"/>
      <c r="D826" s="5"/>
      <c r="E826" s="5"/>
      <c r="F826" s="5"/>
      <c r="G826" s="5"/>
      <c r="H826" s="5"/>
      <c r="I826" s="92"/>
      <c r="J826" s="92"/>
      <c r="K826" s="92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>
      <c r="A827" s="5"/>
      <c r="B827" s="5"/>
      <c r="C827" s="5"/>
      <c r="D827" s="5"/>
      <c r="E827" s="5"/>
      <c r="F827" s="5"/>
      <c r="G827" s="5"/>
      <c r="H827" s="5"/>
      <c r="I827" s="92"/>
      <c r="J827" s="92"/>
      <c r="K827" s="92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>
      <c r="A828" s="5"/>
      <c r="B828" s="5"/>
      <c r="C828" s="5"/>
      <c r="D828" s="5"/>
      <c r="E828" s="5"/>
      <c r="F828" s="5"/>
      <c r="G828" s="5"/>
      <c r="H828" s="5"/>
      <c r="I828" s="92"/>
      <c r="J828" s="92"/>
      <c r="K828" s="92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>
      <c r="A829" s="5"/>
      <c r="B829" s="5"/>
      <c r="C829" s="5"/>
      <c r="D829" s="5"/>
      <c r="E829" s="5"/>
      <c r="F829" s="5"/>
      <c r="G829" s="5"/>
      <c r="H829" s="5"/>
      <c r="I829" s="92"/>
      <c r="J829" s="92"/>
      <c r="K829" s="92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>
      <c r="A830" s="5"/>
      <c r="B830" s="5"/>
      <c r="C830" s="5"/>
      <c r="D830" s="5"/>
      <c r="E830" s="5"/>
      <c r="F830" s="5"/>
      <c r="G830" s="5"/>
      <c r="H830" s="5"/>
      <c r="I830" s="92"/>
      <c r="J830" s="92"/>
      <c r="K830" s="92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>
      <c r="A831" s="5"/>
      <c r="B831" s="5"/>
      <c r="C831" s="5"/>
      <c r="D831" s="5"/>
      <c r="E831" s="5"/>
      <c r="F831" s="5"/>
      <c r="G831" s="5"/>
      <c r="H831" s="5"/>
      <c r="I831" s="92"/>
      <c r="J831" s="92"/>
      <c r="K831" s="92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>
      <c r="A832" s="5"/>
      <c r="B832" s="5"/>
      <c r="C832" s="5"/>
      <c r="D832" s="5"/>
      <c r="E832" s="5"/>
      <c r="F832" s="5"/>
      <c r="G832" s="5"/>
      <c r="H832" s="5"/>
      <c r="I832" s="92"/>
      <c r="J832" s="92"/>
      <c r="K832" s="92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>
      <c r="A833" s="5"/>
      <c r="B833" s="5"/>
      <c r="C833" s="5"/>
      <c r="D833" s="5"/>
      <c r="E833" s="5"/>
      <c r="F833" s="5"/>
      <c r="G833" s="5"/>
      <c r="H833" s="5"/>
      <c r="I833" s="92"/>
      <c r="J833" s="92"/>
      <c r="K833" s="92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>
      <c r="A834" s="5"/>
      <c r="B834" s="5"/>
      <c r="C834" s="5"/>
      <c r="D834" s="5"/>
      <c r="E834" s="5"/>
      <c r="F834" s="5"/>
      <c r="G834" s="5"/>
      <c r="H834" s="5"/>
      <c r="I834" s="92"/>
      <c r="J834" s="92"/>
      <c r="K834" s="92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>
      <c r="A835" s="5"/>
      <c r="B835" s="5"/>
      <c r="C835" s="5"/>
      <c r="D835" s="5"/>
      <c r="E835" s="5"/>
      <c r="F835" s="5"/>
      <c r="G835" s="5"/>
      <c r="H835" s="5"/>
      <c r="I835" s="92"/>
      <c r="J835" s="92"/>
      <c r="K835" s="92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>
      <c r="A836" s="5"/>
      <c r="B836" s="5"/>
      <c r="C836" s="5"/>
      <c r="D836" s="5"/>
      <c r="E836" s="5"/>
      <c r="F836" s="5"/>
      <c r="G836" s="5"/>
      <c r="H836" s="5"/>
      <c r="I836" s="92"/>
      <c r="J836" s="92"/>
      <c r="K836" s="92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>
      <c r="A837" s="5"/>
      <c r="B837" s="5"/>
      <c r="C837" s="5"/>
      <c r="D837" s="5"/>
      <c r="E837" s="5"/>
      <c r="F837" s="5"/>
      <c r="G837" s="5"/>
      <c r="H837" s="5"/>
      <c r="I837" s="92"/>
      <c r="J837" s="92"/>
      <c r="K837" s="92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>
      <c r="A838" s="5"/>
      <c r="B838" s="5"/>
      <c r="C838" s="5"/>
      <c r="D838" s="5"/>
      <c r="E838" s="5"/>
      <c r="F838" s="5"/>
      <c r="G838" s="5"/>
      <c r="H838" s="5"/>
      <c r="I838" s="92"/>
      <c r="J838" s="92"/>
      <c r="K838" s="92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>
      <c r="A839" s="5"/>
      <c r="B839" s="5"/>
      <c r="C839" s="5"/>
      <c r="D839" s="5"/>
      <c r="E839" s="5"/>
      <c r="F839" s="5"/>
      <c r="G839" s="5"/>
      <c r="H839" s="5"/>
      <c r="I839" s="92"/>
      <c r="J839" s="92"/>
      <c r="K839" s="92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>
      <c r="A840" s="5"/>
      <c r="B840" s="5"/>
      <c r="C840" s="5"/>
      <c r="D840" s="5"/>
      <c r="E840" s="5"/>
      <c r="F840" s="5"/>
      <c r="G840" s="5"/>
      <c r="H840" s="5"/>
      <c r="I840" s="92"/>
      <c r="J840" s="92"/>
      <c r="K840" s="92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>
      <c r="A841" s="5"/>
      <c r="B841" s="5"/>
      <c r="C841" s="5"/>
      <c r="D841" s="5"/>
      <c r="E841" s="5"/>
      <c r="F841" s="5"/>
      <c r="G841" s="5"/>
      <c r="H841" s="5"/>
      <c r="I841" s="92"/>
      <c r="J841" s="92"/>
      <c r="K841" s="92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>
      <c r="A842" s="5"/>
      <c r="B842" s="5"/>
      <c r="C842" s="5"/>
      <c r="D842" s="5"/>
      <c r="E842" s="5"/>
      <c r="F842" s="5"/>
      <c r="G842" s="5"/>
      <c r="H842" s="5"/>
      <c r="I842" s="92"/>
      <c r="J842" s="92"/>
      <c r="K842" s="92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>
      <c r="A843" s="5"/>
      <c r="B843" s="5"/>
      <c r="C843" s="5"/>
      <c r="D843" s="5"/>
      <c r="E843" s="5"/>
      <c r="F843" s="5"/>
      <c r="G843" s="5"/>
      <c r="H843" s="5"/>
      <c r="I843" s="92"/>
      <c r="J843" s="92"/>
      <c r="K843" s="92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>
      <c r="A844" s="5"/>
      <c r="B844" s="5"/>
      <c r="C844" s="5"/>
      <c r="D844" s="5"/>
      <c r="E844" s="5"/>
      <c r="F844" s="5"/>
      <c r="G844" s="5"/>
      <c r="H844" s="5"/>
      <c r="I844" s="92"/>
      <c r="J844" s="92"/>
      <c r="K844" s="92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>
      <c r="A845" s="5"/>
      <c r="B845" s="5"/>
      <c r="C845" s="5"/>
      <c r="D845" s="5"/>
      <c r="E845" s="5"/>
      <c r="F845" s="5"/>
      <c r="G845" s="5"/>
      <c r="H845" s="5"/>
      <c r="I845" s="92"/>
      <c r="J845" s="92"/>
      <c r="K845" s="92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>
      <c r="A846" s="5"/>
      <c r="B846" s="5"/>
      <c r="C846" s="5"/>
      <c r="D846" s="5"/>
      <c r="E846" s="5"/>
      <c r="F846" s="5"/>
      <c r="G846" s="5"/>
      <c r="H846" s="5"/>
      <c r="I846" s="92"/>
      <c r="J846" s="92"/>
      <c r="K846" s="92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>
      <c r="A847" s="5"/>
      <c r="B847" s="5"/>
      <c r="C847" s="5"/>
      <c r="D847" s="5"/>
      <c r="E847" s="5"/>
      <c r="F847" s="5"/>
      <c r="G847" s="5"/>
      <c r="H847" s="5"/>
      <c r="I847" s="92"/>
      <c r="J847" s="92"/>
      <c r="K847" s="92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>
      <c r="A848" s="5"/>
      <c r="B848" s="5"/>
      <c r="C848" s="5"/>
      <c r="D848" s="5"/>
      <c r="E848" s="5"/>
      <c r="F848" s="5"/>
      <c r="G848" s="5"/>
      <c r="H848" s="5"/>
      <c r="I848" s="92"/>
      <c r="J848" s="92"/>
      <c r="K848" s="92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>
      <c r="A849" s="5"/>
      <c r="B849" s="5"/>
      <c r="C849" s="5"/>
      <c r="D849" s="5"/>
      <c r="E849" s="5"/>
      <c r="F849" s="5"/>
      <c r="G849" s="5"/>
      <c r="H849" s="5"/>
      <c r="I849" s="92"/>
      <c r="J849" s="92"/>
      <c r="K849" s="92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>
      <c r="A850" s="5"/>
      <c r="B850" s="5"/>
      <c r="C850" s="5"/>
      <c r="D850" s="5"/>
      <c r="E850" s="5"/>
      <c r="F850" s="5"/>
      <c r="G850" s="5"/>
      <c r="H850" s="5"/>
      <c r="I850" s="92"/>
      <c r="J850" s="92"/>
      <c r="K850" s="92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>
      <c r="A851" s="5"/>
      <c r="B851" s="5"/>
      <c r="C851" s="5"/>
      <c r="D851" s="5"/>
      <c r="E851" s="5"/>
      <c r="F851" s="5"/>
      <c r="G851" s="5"/>
      <c r="H851" s="5"/>
      <c r="I851" s="92"/>
      <c r="J851" s="92"/>
      <c r="K851" s="92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>
      <c r="A852" s="5"/>
      <c r="B852" s="5"/>
      <c r="C852" s="5"/>
      <c r="D852" s="5"/>
      <c r="E852" s="5"/>
      <c r="F852" s="5"/>
      <c r="G852" s="5"/>
      <c r="H852" s="5"/>
      <c r="I852" s="92"/>
      <c r="J852" s="92"/>
      <c r="K852" s="92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>
      <c r="A853" s="5"/>
      <c r="B853" s="5"/>
      <c r="C853" s="5"/>
      <c r="D853" s="5"/>
      <c r="E853" s="5"/>
      <c r="F853" s="5"/>
      <c r="G853" s="5"/>
      <c r="H853" s="5"/>
      <c r="I853" s="92"/>
      <c r="J853" s="92"/>
      <c r="K853" s="92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>
      <c r="A854" s="5"/>
      <c r="B854" s="5"/>
      <c r="C854" s="5"/>
      <c r="D854" s="5"/>
      <c r="E854" s="5"/>
      <c r="F854" s="5"/>
      <c r="G854" s="5"/>
      <c r="H854" s="5"/>
      <c r="I854" s="92"/>
      <c r="J854" s="92"/>
      <c r="K854" s="92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>
      <c r="A855" s="5"/>
      <c r="B855" s="5"/>
      <c r="C855" s="5"/>
      <c r="D855" s="5"/>
      <c r="E855" s="5"/>
      <c r="F855" s="5"/>
      <c r="G855" s="5"/>
      <c r="H855" s="5"/>
      <c r="I855" s="92"/>
      <c r="J855" s="92"/>
      <c r="K855" s="92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>
      <c r="A856" s="5"/>
      <c r="B856" s="5"/>
      <c r="C856" s="5"/>
      <c r="D856" s="5"/>
      <c r="E856" s="5"/>
      <c r="F856" s="5"/>
      <c r="G856" s="5"/>
      <c r="H856" s="5"/>
      <c r="I856" s="92"/>
      <c r="J856" s="92"/>
      <c r="K856" s="92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>
      <c r="A857" s="5"/>
      <c r="B857" s="5"/>
      <c r="C857" s="5"/>
      <c r="D857" s="5"/>
      <c r="E857" s="5"/>
      <c r="F857" s="5"/>
      <c r="G857" s="5"/>
      <c r="H857" s="5"/>
      <c r="I857" s="92"/>
      <c r="J857" s="92"/>
      <c r="K857" s="92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>
      <c r="A858" s="5"/>
      <c r="B858" s="5"/>
      <c r="C858" s="5"/>
      <c r="D858" s="5"/>
      <c r="E858" s="5"/>
      <c r="F858" s="5"/>
      <c r="G858" s="5"/>
      <c r="H858" s="5"/>
      <c r="I858" s="92"/>
      <c r="J858" s="92"/>
      <c r="K858" s="92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>
      <c r="A859" s="5"/>
      <c r="B859" s="5"/>
      <c r="C859" s="5"/>
      <c r="D859" s="5"/>
      <c r="E859" s="5"/>
      <c r="F859" s="5"/>
      <c r="G859" s="5"/>
      <c r="H859" s="5"/>
      <c r="I859" s="92"/>
      <c r="J859" s="92"/>
      <c r="K859" s="92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>
      <c r="A860" s="5"/>
      <c r="B860" s="5"/>
      <c r="C860" s="5"/>
      <c r="D860" s="5"/>
      <c r="E860" s="5"/>
      <c r="F860" s="5"/>
      <c r="G860" s="5"/>
      <c r="H860" s="5"/>
      <c r="I860" s="92"/>
      <c r="J860" s="92"/>
      <c r="K860" s="92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>
      <c r="A861" s="5"/>
      <c r="B861" s="5"/>
      <c r="C861" s="5"/>
      <c r="D861" s="5"/>
      <c r="E861" s="5"/>
      <c r="F861" s="5"/>
      <c r="G861" s="5"/>
      <c r="H861" s="5"/>
      <c r="I861" s="92"/>
      <c r="J861" s="92"/>
      <c r="K861" s="92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>
      <c r="A862" s="5"/>
      <c r="B862" s="5"/>
      <c r="C862" s="5"/>
      <c r="D862" s="5"/>
      <c r="E862" s="5"/>
      <c r="F862" s="5"/>
      <c r="G862" s="5"/>
      <c r="H862" s="5"/>
      <c r="I862" s="92"/>
      <c r="J862" s="92"/>
      <c r="K862" s="92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>
      <c r="A863" s="5"/>
      <c r="B863" s="5"/>
      <c r="C863" s="5"/>
      <c r="D863" s="5"/>
      <c r="E863" s="5"/>
      <c r="F863" s="5"/>
      <c r="G863" s="5"/>
      <c r="H863" s="5"/>
      <c r="I863" s="92"/>
      <c r="J863" s="92"/>
      <c r="K863" s="92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>
      <c r="A864" s="5"/>
      <c r="B864" s="5"/>
      <c r="C864" s="5"/>
      <c r="D864" s="5"/>
      <c r="E864" s="5"/>
      <c r="F864" s="5"/>
      <c r="G864" s="5"/>
      <c r="H864" s="5"/>
      <c r="I864" s="92"/>
      <c r="J864" s="92"/>
      <c r="K864" s="92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>
      <c r="A865" s="5"/>
      <c r="B865" s="5"/>
      <c r="C865" s="5"/>
      <c r="D865" s="5"/>
      <c r="E865" s="5"/>
      <c r="F865" s="5"/>
      <c r="G865" s="5"/>
      <c r="H865" s="5"/>
      <c r="I865" s="92"/>
      <c r="J865" s="92"/>
      <c r="K865" s="92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>
      <c r="A866" s="5"/>
      <c r="B866" s="5"/>
      <c r="C866" s="5"/>
      <c r="D866" s="5"/>
      <c r="E866" s="5"/>
      <c r="F866" s="5"/>
      <c r="G866" s="5"/>
      <c r="H866" s="5"/>
      <c r="I866" s="92"/>
      <c r="J866" s="92"/>
      <c r="K866" s="92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>
      <c r="A867" s="5"/>
      <c r="B867" s="5"/>
      <c r="C867" s="5"/>
      <c r="D867" s="5"/>
      <c r="E867" s="5"/>
      <c r="F867" s="5"/>
      <c r="G867" s="5"/>
      <c r="H867" s="5"/>
      <c r="I867" s="92"/>
      <c r="J867" s="92"/>
      <c r="K867" s="92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>
      <c r="A868" s="5"/>
      <c r="B868" s="5"/>
      <c r="C868" s="5"/>
      <c r="D868" s="5"/>
      <c r="E868" s="5"/>
      <c r="F868" s="5"/>
      <c r="G868" s="5"/>
      <c r="H868" s="5"/>
      <c r="I868" s="92"/>
      <c r="J868" s="92"/>
      <c r="K868" s="92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>
      <c r="A869" s="5"/>
      <c r="B869" s="5"/>
      <c r="C869" s="5"/>
      <c r="D869" s="5"/>
      <c r="E869" s="5"/>
      <c r="F869" s="5"/>
      <c r="G869" s="5"/>
      <c r="H869" s="5"/>
      <c r="I869" s="92"/>
      <c r="J869" s="92"/>
      <c r="K869" s="92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>
      <c r="A870" s="5"/>
      <c r="B870" s="5"/>
      <c r="C870" s="5"/>
      <c r="D870" s="5"/>
      <c r="E870" s="5"/>
      <c r="F870" s="5"/>
      <c r="G870" s="5"/>
      <c r="H870" s="5"/>
      <c r="I870" s="92"/>
      <c r="J870" s="92"/>
      <c r="K870" s="92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>
      <c r="A871" s="5"/>
      <c r="B871" s="5"/>
      <c r="C871" s="5"/>
      <c r="D871" s="5"/>
      <c r="E871" s="5"/>
      <c r="F871" s="5"/>
      <c r="G871" s="5"/>
      <c r="H871" s="5"/>
      <c r="I871" s="92"/>
      <c r="J871" s="92"/>
      <c r="K871" s="92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>
      <c r="A872" s="5"/>
      <c r="B872" s="5"/>
      <c r="C872" s="5"/>
      <c r="D872" s="5"/>
      <c r="E872" s="5"/>
      <c r="F872" s="5"/>
      <c r="G872" s="5"/>
      <c r="H872" s="5"/>
      <c r="I872" s="92"/>
      <c r="J872" s="92"/>
      <c r="K872" s="92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>
      <c r="A873" s="5"/>
      <c r="B873" s="5"/>
      <c r="C873" s="5"/>
      <c r="D873" s="5"/>
      <c r="E873" s="5"/>
      <c r="F873" s="5"/>
      <c r="G873" s="5"/>
      <c r="H873" s="5"/>
      <c r="I873" s="92"/>
      <c r="J873" s="92"/>
      <c r="K873" s="92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>
      <c r="A874" s="5"/>
      <c r="B874" s="5"/>
      <c r="C874" s="5"/>
      <c r="D874" s="5"/>
      <c r="E874" s="5"/>
      <c r="F874" s="5"/>
      <c r="G874" s="5"/>
      <c r="H874" s="5"/>
      <c r="I874" s="92"/>
      <c r="J874" s="92"/>
      <c r="K874" s="92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>
      <c r="A875" s="5"/>
      <c r="B875" s="5"/>
      <c r="C875" s="5"/>
      <c r="D875" s="5"/>
      <c r="E875" s="5"/>
      <c r="F875" s="5"/>
      <c r="G875" s="5"/>
      <c r="H875" s="5"/>
      <c r="I875" s="92"/>
      <c r="J875" s="92"/>
      <c r="K875" s="92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>
      <c r="A876" s="5"/>
      <c r="B876" s="5"/>
      <c r="C876" s="5"/>
      <c r="D876" s="5"/>
      <c r="E876" s="5"/>
      <c r="F876" s="5"/>
      <c r="G876" s="5"/>
      <c r="H876" s="5"/>
      <c r="I876" s="92"/>
      <c r="J876" s="92"/>
      <c r="K876" s="92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>
      <c r="A877" s="5"/>
      <c r="B877" s="5"/>
      <c r="C877" s="5"/>
      <c r="D877" s="5"/>
      <c r="E877" s="5"/>
      <c r="F877" s="5"/>
      <c r="G877" s="5"/>
      <c r="H877" s="5"/>
      <c r="I877" s="92"/>
      <c r="J877" s="92"/>
      <c r="K877" s="92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>
      <c r="A878" s="5"/>
      <c r="B878" s="5"/>
      <c r="C878" s="5"/>
      <c r="D878" s="5"/>
      <c r="E878" s="5"/>
      <c r="F878" s="5"/>
      <c r="G878" s="5"/>
      <c r="H878" s="5"/>
      <c r="I878" s="92"/>
      <c r="J878" s="92"/>
      <c r="K878" s="92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>
      <c r="A879" s="5"/>
      <c r="B879" s="5"/>
      <c r="C879" s="5"/>
      <c r="D879" s="5"/>
      <c r="E879" s="5"/>
      <c r="F879" s="5"/>
      <c r="G879" s="5"/>
      <c r="H879" s="5"/>
      <c r="I879" s="92"/>
      <c r="J879" s="92"/>
      <c r="K879" s="92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>
      <c r="A880" s="5"/>
      <c r="B880" s="5"/>
      <c r="C880" s="5"/>
      <c r="D880" s="5"/>
      <c r="E880" s="5"/>
      <c r="F880" s="5"/>
      <c r="G880" s="5"/>
      <c r="H880" s="5"/>
      <c r="I880" s="92"/>
      <c r="J880" s="92"/>
      <c r="K880" s="92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>
      <c r="A881" s="5"/>
      <c r="B881" s="5"/>
      <c r="C881" s="5"/>
      <c r="D881" s="5"/>
      <c r="E881" s="5"/>
      <c r="F881" s="5"/>
      <c r="G881" s="5"/>
      <c r="H881" s="5"/>
      <c r="I881" s="92"/>
      <c r="J881" s="92"/>
      <c r="K881" s="92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>
      <c r="A882" s="5"/>
      <c r="B882" s="5"/>
      <c r="C882" s="5"/>
      <c r="D882" s="5"/>
      <c r="E882" s="5"/>
      <c r="F882" s="5"/>
      <c r="G882" s="5"/>
      <c r="H882" s="5"/>
      <c r="I882" s="92"/>
      <c r="J882" s="92"/>
      <c r="K882" s="92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>
      <c r="A883" s="5"/>
      <c r="B883" s="5"/>
      <c r="C883" s="5"/>
      <c r="D883" s="5"/>
      <c r="E883" s="5"/>
      <c r="F883" s="5"/>
      <c r="G883" s="5"/>
      <c r="H883" s="5"/>
      <c r="I883" s="92"/>
      <c r="J883" s="92"/>
      <c r="K883" s="92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>
      <c r="A884" s="5"/>
      <c r="B884" s="5"/>
      <c r="C884" s="5"/>
      <c r="D884" s="5"/>
      <c r="E884" s="5"/>
      <c r="F884" s="5"/>
      <c r="G884" s="5"/>
      <c r="H884" s="5"/>
      <c r="I884" s="92"/>
      <c r="J884" s="92"/>
      <c r="K884" s="92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>
      <c r="A885" s="5"/>
      <c r="B885" s="5"/>
      <c r="C885" s="5"/>
      <c r="D885" s="5"/>
      <c r="E885" s="5"/>
      <c r="F885" s="5"/>
      <c r="G885" s="5"/>
      <c r="H885" s="5"/>
      <c r="I885" s="92"/>
      <c r="J885" s="92"/>
      <c r="K885" s="92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>
      <c r="A886" s="5"/>
      <c r="B886" s="5"/>
      <c r="C886" s="5"/>
      <c r="D886" s="5"/>
      <c r="E886" s="5"/>
      <c r="F886" s="5"/>
      <c r="G886" s="5"/>
      <c r="H886" s="5"/>
      <c r="I886" s="92"/>
      <c r="J886" s="92"/>
      <c r="K886" s="92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>
      <c r="A887" s="5"/>
      <c r="B887" s="5"/>
      <c r="C887" s="5"/>
      <c r="D887" s="5"/>
      <c r="E887" s="5"/>
      <c r="F887" s="5"/>
      <c r="G887" s="5"/>
      <c r="H887" s="5"/>
      <c r="I887" s="92"/>
      <c r="J887" s="92"/>
      <c r="K887" s="92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>
      <c r="A888" s="5"/>
      <c r="B888" s="5"/>
      <c r="C888" s="5"/>
      <c r="D888" s="5"/>
      <c r="E888" s="5"/>
      <c r="F888" s="5"/>
      <c r="G888" s="5"/>
      <c r="H888" s="5"/>
      <c r="I888" s="92"/>
      <c r="J888" s="92"/>
      <c r="K888" s="92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>
      <c r="A889" s="5"/>
      <c r="B889" s="5"/>
      <c r="C889" s="5"/>
      <c r="D889" s="5"/>
      <c r="E889" s="5"/>
      <c r="F889" s="5"/>
      <c r="G889" s="5"/>
      <c r="H889" s="5"/>
      <c r="I889" s="92"/>
      <c r="J889" s="92"/>
      <c r="K889" s="92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>
      <c r="A890" s="5"/>
      <c r="B890" s="5"/>
      <c r="C890" s="5"/>
      <c r="D890" s="5"/>
      <c r="E890" s="5"/>
      <c r="F890" s="5"/>
      <c r="G890" s="5"/>
      <c r="H890" s="5"/>
      <c r="I890" s="92"/>
      <c r="J890" s="92"/>
      <c r="K890" s="92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>
      <c r="A891" s="5"/>
      <c r="B891" s="5"/>
      <c r="C891" s="5"/>
      <c r="D891" s="5"/>
      <c r="E891" s="5"/>
      <c r="F891" s="5"/>
      <c r="G891" s="5"/>
      <c r="H891" s="5"/>
      <c r="I891" s="92"/>
      <c r="J891" s="92"/>
      <c r="K891" s="92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>
      <c r="A892" s="5"/>
      <c r="B892" s="5"/>
      <c r="C892" s="5"/>
      <c r="D892" s="5"/>
      <c r="E892" s="5"/>
      <c r="F892" s="5"/>
      <c r="G892" s="5"/>
      <c r="H892" s="5"/>
      <c r="I892" s="92"/>
      <c r="J892" s="92"/>
      <c r="K892" s="92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>
      <c r="A893" s="5"/>
      <c r="B893" s="5"/>
      <c r="C893" s="5"/>
      <c r="D893" s="5"/>
      <c r="E893" s="5"/>
      <c r="F893" s="5"/>
      <c r="G893" s="5"/>
      <c r="H893" s="5"/>
      <c r="I893" s="92"/>
      <c r="J893" s="92"/>
      <c r="K893" s="92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>
      <c r="A894" s="5"/>
      <c r="B894" s="5"/>
      <c r="C894" s="5"/>
      <c r="D894" s="5"/>
      <c r="E894" s="5"/>
      <c r="F894" s="5"/>
      <c r="G894" s="5"/>
      <c r="H894" s="5"/>
      <c r="I894" s="92"/>
      <c r="J894" s="92"/>
      <c r="K894" s="92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>
      <c r="A895" s="5"/>
      <c r="B895" s="5"/>
      <c r="C895" s="5"/>
      <c r="D895" s="5"/>
      <c r="E895" s="5"/>
      <c r="F895" s="5"/>
      <c r="G895" s="5"/>
      <c r="H895" s="5"/>
      <c r="I895" s="92"/>
      <c r="J895" s="92"/>
      <c r="K895" s="92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>
      <c r="A896" s="5"/>
      <c r="B896" s="5"/>
      <c r="C896" s="5"/>
      <c r="D896" s="5"/>
      <c r="E896" s="5"/>
      <c r="F896" s="5"/>
      <c r="G896" s="5"/>
      <c r="H896" s="5"/>
      <c r="I896" s="92"/>
      <c r="J896" s="92"/>
      <c r="K896" s="92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>
      <c r="A897" s="5"/>
      <c r="B897" s="5"/>
      <c r="C897" s="5"/>
      <c r="D897" s="5"/>
      <c r="E897" s="5"/>
      <c r="F897" s="5"/>
      <c r="G897" s="5"/>
      <c r="H897" s="5"/>
      <c r="I897" s="92"/>
      <c r="J897" s="92"/>
      <c r="K897" s="92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>
      <c r="A898" s="5"/>
      <c r="B898" s="5"/>
      <c r="C898" s="5"/>
      <c r="D898" s="5"/>
      <c r="E898" s="5"/>
      <c r="F898" s="5"/>
      <c r="G898" s="5"/>
      <c r="H898" s="5"/>
      <c r="I898" s="92"/>
      <c r="J898" s="92"/>
      <c r="K898" s="92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>
      <c r="A899" s="5"/>
      <c r="B899" s="5"/>
      <c r="C899" s="5"/>
      <c r="D899" s="5"/>
      <c r="E899" s="5"/>
      <c r="F899" s="5"/>
      <c r="G899" s="5"/>
      <c r="H899" s="5"/>
      <c r="I899" s="92"/>
      <c r="J899" s="92"/>
      <c r="K899" s="92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>
      <c r="A900" s="5"/>
      <c r="B900" s="5"/>
      <c r="C900" s="5"/>
      <c r="D900" s="5"/>
      <c r="E900" s="5"/>
      <c r="F900" s="5"/>
      <c r="G900" s="5"/>
      <c r="H900" s="5"/>
      <c r="I900" s="92"/>
      <c r="J900" s="92"/>
      <c r="K900" s="92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>
      <c r="A901" s="5"/>
      <c r="B901" s="5"/>
      <c r="C901" s="5"/>
      <c r="D901" s="5"/>
      <c r="E901" s="5"/>
      <c r="F901" s="5"/>
      <c r="G901" s="5"/>
      <c r="H901" s="5"/>
      <c r="I901" s="92"/>
      <c r="J901" s="92"/>
      <c r="K901" s="92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>
      <c r="A902" s="5"/>
      <c r="B902" s="5"/>
      <c r="C902" s="5"/>
      <c r="D902" s="5"/>
      <c r="E902" s="5"/>
      <c r="F902" s="5"/>
      <c r="G902" s="5"/>
      <c r="H902" s="5"/>
      <c r="I902" s="92"/>
      <c r="J902" s="92"/>
      <c r="K902" s="92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>
      <c r="A903" s="5"/>
      <c r="B903" s="5"/>
      <c r="C903" s="5"/>
      <c r="D903" s="5"/>
      <c r="E903" s="5"/>
      <c r="F903" s="5"/>
      <c r="G903" s="5"/>
      <c r="H903" s="5"/>
      <c r="I903" s="92"/>
      <c r="J903" s="92"/>
      <c r="K903" s="92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>
      <c r="A904" s="5"/>
      <c r="B904" s="5"/>
      <c r="C904" s="5"/>
      <c r="D904" s="5"/>
      <c r="E904" s="5"/>
      <c r="F904" s="5"/>
      <c r="G904" s="5"/>
      <c r="H904" s="5"/>
      <c r="I904" s="92"/>
      <c r="J904" s="92"/>
      <c r="K904" s="92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>
      <c r="A905" s="5"/>
      <c r="B905" s="5"/>
      <c r="C905" s="5"/>
      <c r="D905" s="5"/>
      <c r="E905" s="5"/>
      <c r="F905" s="5"/>
      <c r="G905" s="5"/>
      <c r="H905" s="5"/>
      <c r="I905" s="92"/>
      <c r="J905" s="92"/>
      <c r="K905" s="92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>
      <c r="A906" s="5"/>
      <c r="B906" s="5"/>
      <c r="C906" s="5"/>
      <c r="D906" s="5"/>
      <c r="E906" s="5"/>
      <c r="F906" s="5"/>
      <c r="G906" s="5"/>
      <c r="H906" s="5"/>
      <c r="I906" s="92"/>
      <c r="J906" s="92"/>
      <c r="K906" s="92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>
      <c r="A907" s="5"/>
      <c r="B907" s="5"/>
      <c r="C907" s="5"/>
      <c r="D907" s="5"/>
      <c r="E907" s="5"/>
      <c r="F907" s="5"/>
      <c r="G907" s="5"/>
      <c r="H907" s="5"/>
      <c r="I907" s="92"/>
      <c r="J907" s="92"/>
      <c r="K907" s="92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>
      <c r="A908" s="5"/>
      <c r="B908" s="5"/>
      <c r="C908" s="5"/>
      <c r="D908" s="5"/>
      <c r="E908" s="5"/>
      <c r="F908" s="5"/>
      <c r="G908" s="5"/>
      <c r="H908" s="5"/>
      <c r="I908" s="92"/>
      <c r="J908" s="92"/>
      <c r="K908" s="92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>
      <c r="A909" s="5"/>
      <c r="B909" s="5"/>
      <c r="C909" s="5"/>
      <c r="D909" s="5"/>
      <c r="E909" s="5"/>
      <c r="F909" s="5"/>
      <c r="G909" s="5"/>
      <c r="H909" s="5"/>
      <c r="I909" s="92"/>
      <c r="J909" s="92"/>
      <c r="K909" s="92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>
      <c r="A910" s="5"/>
      <c r="B910" s="5"/>
      <c r="C910" s="5"/>
      <c r="D910" s="5"/>
      <c r="E910" s="5"/>
      <c r="F910" s="5"/>
      <c r="G910" s="5"/>
      <c r="H910" s="5"/>
      <c r="I910" s="92"/>
      <c r="J910" s="92"/>
      <c r="K910" s="92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>
      <c r="A911" s="5"/>
      <c r="B911" s="5"/>
      <c r="C911" s="5"/>
      <c r="D911" s="5"/>
      <c r="E911" s="5"/>
      <c r="F911" s="5"/>
      <c r="G911" s="5"/>
      <c r="H911" s="5"/>
      <c r="I911" s="92"/>
      <c r="J911" s="92"/>
      <c r="K911" s="92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>
      <c r="A912" s="5"/>
      <c r="B912" s="5"/>
      <c r="C912" s="5"/>
      <c r="D912" s="5"/>
      <c r="E912" s="5"/>
      <c r="F912" s="5"/>
      <c r="G912" s="5"/>
      <c r="H912" s="5"/>
      <c r="I912" s="92"/>
      <c r="J912" s="92"/>
      <c r="K912" s="92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>
      <c r="A913" s="5"/>
      <c r="B913" s="5"/>
      <c r="C913" s="5"/>
      <c r="D913" s="5"/>
      <c r="E913" s="5"/>
      <c r="F913" s="5"/>
      <c r="G913" s="5"/>
      <c r="H913" s="5"/>
      <c r="I913" s="92"/>
      <c r="J913" s="92"/>
      <c r="K913" s="92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>
      <c r="A914" s="5"/>
      <c r="B914" s="5"/>
      <c r="C914" s="5"/>
      <c r="D914" s="5"/>
      <c r="E914" s="5"/>
      <c r="F914" s="5"/>
      <c r="G914" s="5"/>
      <c r="H914" s="5"/>
      <c r="I914" s="92"/>
      <c r="J914" s="92"/>
      <c r="K914" s="92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>
      <c r="A915" s="5"/>
      <c r="B915" s="5"/>
      <c r="C915" s="5"/>
      <c r="D915" s="5"/>
      <c r="E915" s="5"/>
      <c r="F915" s="5"/>
      <c r="G915" s="5"/>
      <c r="H915" s="5"/>
      <c r="I915" s="92"/>
      <c r="J915" s="92"/>
      <c r="K915" s="92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>
      <c r="A916" s="5"/>
      <c r="B916" s="5"/>
      <c r="C916" s="5"/>
      <c r="D916" s="5"/>
      <c r="E916" s="5"/>
      <c r="F916" s="5"/>
      <c r="G916" s="5"/>
      <c r="H916" s="5"/>
      <c r="I916" s="92"/>
      <c r="J916" s="92"/>
      <c r="K916" s="92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>
      <c r="A917" s="5"/>
      <c r="B917" s="5"/>
      <c r="C917" s="5"/>
      <c r="D917" s="5"/>
      <c r="E917" s="5"/>
      <c r="F917" s="5"/>
      <c r="G917" s="5"/>
      <c r="H917" s="5"/>
      <c r="I917" s="92"/>
      <c r="J917" s="92"/>
      <c r="K917" s="92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>
      <c r="A918" s="5"/>
      <c r="B918" s="5"/>
      <c r="C918" s="5"/>
      <c r="D918" s="5"/>
      <c r="E918" s="5"/>
      <c r="F918" s="5"/>
      <c r="G918" s="5"/>
      <c r="H918" s="5"/>
      <c r="I918" s="92"/>
      <c r="J918" s="92"/>
      <c r="K918" s="92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>
      <c r="A919" s="5"/>
      <c r="B919" s="5"/>
      <c r="C919" s="5"/>
      <c r="D919" s="5"/>
      <c r="E919" s="5"/>
      <c r="F919" s="5"/>
      <c r="G919" s="5"/>
      <c r="H919" s="5"/>
      <c r="I919" s="92"/>
      <c r="J919" s="92"/>
      <c r="K919" s="92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>
      <c r="A920" s="5"/>
      <c r="B920" s="5"/>
      <c r="C920" s="5"/>
      <c r="D920" s="5"/>
      <c r="E920" s="5"/>
      <c r="F920" s="5"/>
      <c r="G920" s="5"/>
      <c r="H920" s="5"/>
      <c r="I920" s="92"/>
      <c r="J920" s="92"/>
      <c r="K920" s="92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>
      <c r="A921" s="5"/>
      <c r="B921" s="5"/>
      <c r="C921" s="5"/>
      <c r="D921" s="5"/>
      <c r="E921" s="5"/>
      <c r="F921" s="5"/>
      <c r="G921" s="5"/>
      <c r="H921" s="5"/>
      <c r="I921" s="92"/>
      <c r="J921" s="92"/>
      <c r="K921" s="92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>
      <c r="A922" s="5"/>
      <c r="B922" s="5"/>
      <c r="C922" s="5"/>
      <c r="D922" s="5"/>
      <c r="E922" s="5"/>
      <c r="F922" s="5"/>
      <c r="G922" s="5"/>
      <c r="H922" s="5"/>
      <c r="I922" s="92"/>
      <c r="J922" s="92"/>
      <c r="K922" s="92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>
      <c r="A923" s="5"/>
      <c r="B923" s="5"/>
      <c r="C923" s="5"/>
      <c r="D923" s="5"/>
      <c r="E923" s="5"/>
      <c r="F923" s="5"/>
      <c r="G923" s="5"/>
      <c r="H923" s="5"/>
      <c r="I923" s="92"/>
      <c r="J923" s="92"/>
      <c r="K923" s="92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>
      <c r="A924" s="5"/>
      <c r="B924" s="5"/>
      <c r="C924" s="5"/>
      <c r="D924" s="5"/>
      <c r="E924" s="5"/>
      <c r="F924" s="5"/>
      <c r="G924" s="5"/>
      <c r="H924" s="5"/>
      <c r="I924" s="92"/>
      <c r="J924" s="92"/>
      <c r="K924" s="92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>
      <c r="A925" s="5"/>
      <c r="B925" s="5"/>
      <c r="C925" s="5"/>
      <c r="D925" s="5"/>
      <c r="E925" s="5"/>
      <c r="F925" s="5"/>
      <c r="G925" s="5"/>
      <c r="H925" s="5"/>
      <c r="I925" s="92"/>
      <c r="J925" s="92"/>
      <c r="K925" s="92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>
      <c r="A926" s="5"/>
      <c r="B926" s="5"/>
      <c r="C926" s="5"/>
      <c r="D926" s="5"/>
      <c r="E926" s="5"/>
      <c r="F926" s="5"/>
      <c r="G926" s="5"/>
      <c r="H926" s="5"/>
      <c r="I926" s="92"/>
      <c r="J926" s="92"/>
      <c r="K926" s="92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>
      <c r="A927" s="5"/>
      <c r="B927" s="5"/>
      <c r="C927" s="5"/>
      <c r="D927" s="5"/>
      <c r="E927" s="5"/>
      <c r="F927" s="5"/>
      <c r="G927" s="5"/>
      <c r="H927" s="5"/>
      <c r="I927" s="92"/>
      <c r="J927" s="92"/>
      <c r="K927" s="92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>
      <c r="A928" s="5"/>
      <c r="B928" s="5"/>
      <c r="C928" s="5"/>
      <c r="D928" s="5"/>
      <c r="E928" s="5"/>
      <c r="F928" s="5"/>
      <c r="G928" s="5"/>
      <c r="H928" s="5"/>
      <c r="I928" s="92"/>
      <c r="J928" s="92"/>
      <c r="K928" s="92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>
      <c r="A929" s="5"/>
      <c r="B929" s="5"/>
      <c r="C929" s="5"/>
      <c r="D929" s="5"/>
      <c r="E929" s="5"/>
      <c r="F929" s="5"/>
      <c r="G929" s="5"/>
      <c r="H929" s="5"/>
      <c r="I929" s="92"/>
      <c r="J929" s="92"/>
      <c r="K929" s="92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>
      <c r="A930" s="5"/>
      <c r="B930" s="5"/>
      <c r="C930" s="5"/>
      <c r="D930" s="5"/>
      <c r="E930" s="5"/>
      <c r="F930" s="5"/>
      <c r="G930" s="5"/>
      <c r="H930" s="5"/>
      <c r="I930" s="92"/>
      <c r="J930" s="92"/>
      <c r="K930" s="92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>
      <c r="A931" s="5"/>
      <c r="B931" s="5"/>
      <c r="C931" s="5"/>
      <c r="D931" s="5"/>
      <c r="E931" s="5"/>
      <c r="F931" s="5"/>
      <c r="G931" s="5"/>
      <c r="H931" s="5"/>
      <c r="I931" s="92"/>
      <c r="J931" s="92"/>
      <c r="K931" s="92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>
      <c r="A932" s="5"/>
      <c r="B932" s="5"/>
      <c r="C932" s="5"/>
      <c r="D932" s="5"/>
      <c r="E932" s="5"/>
      <c r="F932" s="5"/>
      <c r="G932" s="5"/>
      <c r="H932" s="5"/>
      <c r="I932" s="92"/>
      <c r="J932" s="92"/>
      <c r="K932" s="92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>
      <c r="A933" s="5"/>
      <c r="B933" s="5"/>
      <c r="C933" s="5"/>
      <c r="D933" s="5"/>
      <c r="E933" s="5"/>
      <c r="F933" s="5"/>
      <c r="G933" s="5"/>
      <c r="H933" s="5"/>
      <c r="I933" s="92"/>
      <c r="J933" s="92"/>
      <c r="K933" s="92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>
      <c r="A934" s="5"/>
      <c r="B934" s="5"/>
      <c r="C934" s="5"/>
      <c r="D934" s="5"/>
      <c r="E934" s="5"/>
      <c r="F934" s="5"/>
      <c r="G934" s="5"/>
      <c r="H934" s="5"/>
      <c r="I934" s="92"/>
      <c r="J934" s="92"/>
      <c r="K934" s="92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>
      <c r="A935" s="5"/>
      <c r="B935" s="5"/>
      <c r="C935" s="5"/>
      <c r="D935" s="5"/>
      <c r="E935" s="5"/>
      <c r="F935" s="5"/>
      <c r="G935" s="5"/>
      <c r="H935" s="5"/>
      <c r="I935" s="92"/>
      <c r="J935" s="92"/>
      <c r="K935" s="92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>
      <c r="A936" s="5"/>
      <c r="B936" s="5"/>
      <c r="C936" s="5"/>
      <c r="D936" s="5"/>
      <c r="E936" s="5"/>
      <c r="F936" s="5"/>
      <c r="G936" s="5"/>
      <c r="H936" s="5"/>
      <c r="I936" s="92"/>
      <c r="J936" s="92"/>
      <c r="K936" s="92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>
      <c r="A937" s="5"/>
      <c r="B937" s="5"/>
      <c r="C937" s="5"/>
      <c r="D937" s="5"/>
      <c r="E937" s="5"/>
      <c r="F937" s="5"/>
      <c r="G937" s="5"/>
      <c r="H937" s="5"/>
      <c r="I937" s="92"/>
      <c r="J937" s="92"/>
      <c r="K937" s="92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>
      <c r="A938" s="5"/>
      <c r="B938" s="5"/>
      <c r="C938" s="5"/>
      <c r="D938" s="5"/>
      <c r="E938" s="5"/>
      <c r="F938" s="5"/>
      <c r="G938" s="5"/>
      <c r="H938" s="5"/>
      <c r="I938" s="92"/>
      <c r="J938" s="92"/>
      <c r="K938" s="92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>
      <c r="A939" s="5"/>
      <c r="B939" s="5"/>
      <c r="C939" s="5"/>
      <c r="D939" s="5"/>
      <c r="E939" s="5"/>
      <c r="F939" s="5"/>
      <c r="G939" s="5"/>
      <c r="H939" s="5"/>
      <c r="I939" s="92"/>
      <c r="J939" s="92"/>
      <c r="K939" s="92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>
      <c r="A940" s="5"/>
      <c r="B940" s="5"/>
      <c r="C940" s="5"/>
      <c r="D940" s="5"/>
      <c r="E940" s="5"/>
      <c r="F940" s="5"/>
      <c r="G940" s="5"/>
      <c r="H940" s="5"/>
      <c r="I940" s="92"/>
      <c r="J940" s="92"/>
      <c r="K940" s="92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>
      <c r="A941" s="5"/>
      <c r="B941" s="5"/>
      <c r="C941" s="5"/>
      <c r="D941" s="5"/>
      <c r="E941" s="5"/>
      <c r="F941" s="5"/>
      <c r="G941" s="5"/>
      <c r="H941" s="5"/>
      <c r="I941" s="92"/>
      <c r="J941" s="92"/>
      <c r="K941" s="92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>
      <c r="A942" s="5"/>
      <c r="B942" s="5"/>
      <c r="C942" s="5"/>
      <c r="D942" s="5"/>
      <c r="E942" s="5"/>
      <c r="F942" s="5"/>
      <c r="G942" s="5"/>
      <c r="H942" s="5"/>
      <c r="I942" s="92"/>
      <c r="J942" s="92"/>
      <c r="K942" s="92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>
      <c r="A943" s="5"/>
      <c r="B943" s="5"/>
      <c r="C943" s="5"/>
      <c r="D943" s="5"/>
      <c r="E943" s="5"/>
      <c r="F943" s="5"/>
      <c r="G943" s="5"/>
      <c r="H943" s="5"/>
      <c r="I943" s="92"/>
      <c r="J943" s="92"/>
      <c r="K943" s="92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>
      <c r="A944" s="5"/>
      <c r="B944" s="5"/>
      <c r="C944" s="5"/>
      <c r="D944" s="5"/>
      <c r="E944" s="5"/>
      <c r="F944" s="5"/>
      <c r="G944" s="5"/>
      <c r="H944" s="5"/>
      <c r="I944" s="92"/>
      <c r="J944" s="92"/>
      <c r="K944" s="92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>
      <c r="A945" s="5"/>
      <c r="B945" s="5"/>
      <c r="C945" s="5"/>
      <c r="D945" s="5"/>
      <c r="E945" s="5"/>
      <c r="F945" s="5"/>
      <c r="G945" s="5"/>
      <c r="H945" s="5"/>
      <c r="I945" s="92"/>
      <c r="J945" s="92"/>
      <c r="K945" s="92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>
      <c r="A946" s="5"/>
      <c r="B946" s="5"/>
      <c r="C946" s="5"/>
      <c r="D946" s="5"/>
      <c r="E946" s="5"/>
      <c r="F946" s="5"/>
      <c r="G946" s="5"/>
      <c r="H946" s="5"/>
      <c r="I946" s="92"/>
      <c r="J946" s="92"/>
      <c r="K946" s="92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>
      <c r="A947" s="5"/>
      <c r="B947" s="5"/>
      <c r="C947" s="5"/>
      <c r="D947" s="5"/>
      <c r="E947" s="5"/>
      <c r="F947" s="5"/>
      <c r="G947" s="5"/>
      <c r="H947" s="5"/>
      <c r="I947" s="92"/>
      <c r="J947" s="92"/>
      <c r="K947" s="92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>
      <c r="A948" s="5"/>
      <c r="B948" s="5"/>
      <c r="C948" s="5"/>
      <c r="D948" s="5"/>
      <c r="E948" s="5"/>
      <c r="F948" s="5"/>
      <c r="G948" s="5"/>
      <c r="H948" s="5"/>
      <c r="I948" s="92"/>
      <c r="J948" s="92"/>
      <c r="K948" s="92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>
      <c r="A949" s="5"/>
      <c r="B949" s="5"/>
      <c r="C949" s="5"/>
      <c r="D949" s="5"/>
      <c r="E949" s="5"/>
      <c r="F949" s="5"/>
      <c r="G949" s="5"/>
      <c r="H949" s="5"/>
      <c r="I949" s="92"/>
      <c r="J949" s="92"/>
      <c r="K949" s="92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>
      <c r="A950" s="5"/>
      <c r="B950" s="5"/>
      <c r="C950" s="5"/>
      <c r="D950" s="5"/>
      <c r="E950" s="5"/>
      <c r="F950" s="5"/>
      <c r="G950" s="5"/>
      <c r="H950" s="5"/>
      <c r="I950" s="92"/>
      <c r="J950" s="92"/>
      <c r="K950" s="92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>
      <c r="A951" s="5"/>
      <c r="B951" s="5"/>
      <c r="C951" s="5"/>
      <c r="D951" s="5"/>
      <c r="E951" s="5"/>
      <c r="F951" s="5"/>
      <c r="G951" s="5"/>
      <c r="H951" s="5"/>
      <c r="I951" s="92"/>
      <c r="J951" s="92"/>
      <c r="K951" s="92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>
      <c r="A952" s="5"/>
      <c r="B952" s="5"/>
      <c r="C952" s="5"/>
      <c r="D952" s="5"/>
      <c r="E952" s="5"/>
      <c r="F952" s="5"/>
      <c r="G952" s="5"/>
      <c r="H952" s="5"/>
      <c r="I952" s="92"/>
      <c r="J952" s="92"/>
      <c r="K952" s="92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>
      <c r="A953" s="5"/>
      <c r="B953" s="5"/>
      <c r="C953" s="5"/>
      <c r="D953" s="5"/>
      <c r="E953" s="5"/>
      <c r="F953" s="5"/>
      <c r="G953" s="5"/>
      <c r="H953" s="5"/>
      <c r="I953" s="92"/>
      <c r="J953" s="92"/>
      <c r="K953" s="92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>
      <c r="A954" s="5"/>
      <c r="B954" s="5"/>
      <c r="C954" s="5"/>
      <c r="D954" s="5"/>
      <c r="E954" s="5"/>
      <c r="F954" s="5"/>
      <c r="G954" s="5"/>
      <c r="H954" s="5"/>
      <c r="I954" s="92"/>
      <c r="J954" s="92"/>
      <c r="K954" s="92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>
      <c r="A955" s="5"/>
      <c r="B955" s="5"/>
      <c r="C955" s="5"/>
      <c r="D955" s="5"/>
      <c r="E955" s="5"/>
      <c r="F955" s="5"/>
      <c r="G955" s="5"/>
      <c r="H955" s="5"/>
      <c r="I955" s="92"/>
      <c r="J955" s="92"/>
      <c r="K955" s="92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>
      <c r="A956" s="5"/>
      <c r="B956" s="5"/>
      <c r="C956" s="5"/>
      <c r="D956" s="5"/>
      <c r="E956" s="5"/>
      <c r="F956" s="5"/>
      <c r="G956" s="5"/>
      <c r="H956" s="5"/>
      <c r="I956" s="92"/>
      <c r="J956" s="92"/>
      <c r="K956" s="92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>
      <c r="A957" s="5"/>
      <c r="B957" s="5"/>
      <c r="C957" s="5"/>
      <c r="D957" s="5"/>
      <c r="E957" s="5"/>
      <c r="F957" s="5"/>
      <c r="G957" s="5"/>
      <c r="H957" s="5"/>
      <c r="I957" s="92"/>
      <c r="J957" s="92"/>
      <c r="K957" s="92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>
      <c r="A958" s="5"/>
      <c r="B958" s="5"/>
      <c r="C958" s="5"/>
      <c r="D958" s="5"/>
      <c r="E958" s="5"/>
      <c r="F958" s="5"/>
      <c r="G958" s="5"/>
      <c r="H958" s="5"/>
      <c r="I958" s="92"/>
      <c r="J958" s="92"/>
      <c r="K958" s="92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>
      <c r="A959" s="5"/>
      <c r="B959" s="5"/>
      <c r="C959" s="5"/>
      <c r="D959" s="5"/>
      <c r="E959" s="5"/>
      <c r="F959" s="5"/>
      <c r="G959" s="5"/>
      <c r="H959" s="5"/>
      <c r="I959" s="92"/>
      <c r="J959" s="92"/>
      <c r="K959" s="92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>
      <c r="A960" s="5"/>
      <c r="B960" s="5"/>
      <c r="C960" s="5"/>
      <c r="D960" s="5"/>
      <c r="E960" s="5"/>
      <c r="F960" s="5"/>
      <c r="G960" s="5"/>
      <c r="H960" s="5"/>
      <c r="I960" s="92"/>
      <c r="J960" s="92"/>
      <c r="K960" s="92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>
      <c r="A961" s="5"/>
      <c r="B961" s="5"/>
      <c r="C961" s="5"/>
      <c r="D961" s="5"/>
      <c r="E961" s="5"/>
      <c r="F961" s="5"/>
      <c r="G961" s="5"/>
      <c r="H961" s="5"/>
      <c r="I961" s="92"/>
      <c r="J961" s="92"/>
      <c r="K961" s="92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>
      <c r="A962" s="5"/>
      <c r="B962" s="5"/>
      <c r="C962" s="5"/>
      <c r="D962" s="5"/>
      <c r="E962" s="5"/>
      <c r="F962" s="5"/>
      <c r="G962" s="5"/>
      <c r="H962" s="5"/>
      <c r="I962" s="92"/>
      <c r="J962" s="92"/>
      <c r="K962" s="92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>
      <c r="A963" s="5"/>
      <c r="B963" s="5"/>
      <c r="C963" s="5"/>
      <c r="D963" s="5"/>
      <c r="E963" s="5"/>
      <c r="F963" s="5"/>
      <c r="G963" s="5"/>
      <c r="H963" s="5"/>
      <c r="I963" s="92"/>
      <c r="J963" s="92"/>
      <c r="K963" s="92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>
      <c r="A964" s="5"/>
      <c r="B964" s="5"/>
      <c r="C964" s="5"/>
      <c r="D964" s="5"/>
      <c r="E964" s="5"/>
      <c r="F964" s="5"/>
      <c r="G964" s="5"/>
      <c r="H964" s="5"/>
      <c r="I964" s="92"/>
      <c r="J964" s="92"/>
      <c r="K964" s="92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>
      <c r="A965" s="5"/>
      <c r="B965" s="5"/>
      <c r="C965" s="5"/>
      <c r="D965" s="5"/>
      <c r="E965" s="5"/>
      <c r="F965" s="5"/>
      <c r="G965" s="5"/>
      <c r="H965" s="5"/>
      <c r="I965" s="92"/>
      <c r="J965" s="92"/>
      <c r="K965" s="92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>
      <c r="A966" s="5"/>
      <c r="B966" s="5"/>
      <c r="C966" s="5"/>
      <c r="D966" s="5"/>
      <c r="E966" s="5"/>
      <c r="F966" s="5"/>
      <c r="G966" s="5"/>
      <c r="H966" s="5"/>
      <c r="I966" s="92"/>
      <c r="J966" s="92"/>
      <c r="K966" s="92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>
      <c r="A967" s="5"/>
      <c r="B967" s="5"/>
      <c r="C967" s="5"/>
      <c r="D967" s="5"/>
      <c r="E967" s="5"/>
      <c r="F967" s="5"/>
      <c r="G967" s="5"/>
      <c r="H967" s="5"/>
      <c r="I967" s="92"/>
      <c r="J967" s="92"/>
      <c r="K967" s="92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>
      <c r="A968" s="5"/>
      <c r="B968" s="5"/>
      <c r="C968" s="5"/>
      <c r="D968" s="5"/>
      <c r="E968" s="5"/>
      <c r="F968" s="5"/>
      <c r="G968" s="5"/>
      <c r="H968" s="5"/>
      <c r="I968" s="92"/>
      <c r="J968" s="92"/>
      <c r="K968" s="92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>
      <c r="A969" s="5"/>
      <c r="B969" s="5"/>
      <c r="C969" s="5"/>
      <c r="D969" s="5"/>
      <c r="E969" s="5"/>
      <c r="F969" s="5"/>
      <c r="G969" s="5"/>
      <c r="H969" s="5"/>
      <c r="I969" s="92"/>
      <c r="J969" s="92"/>
      <c r="K969" s="92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>
      <c r="A970" s="5"/>
      <c r="B970" s="5"/>
      <c r="C970" s="5"/>
      <c r="D970" s="5"/>
      <c r="E970" s="5"/>
      <c r="F970" s="5"/>
      <c r="G970" s="5"/>
      <c r="H970" s="5"/>
      <c r="I970" s="92"/>
      <c r="J970" s="92"/>
      <c r="K970" s="92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>
      <c r="A971" s="5"/>
      <c r="B971" s="5"/>
      <c r="C971" s="5"/>
      <c r="D971" s="5"/>
      <c r="E971" s="5"/>
      <c r="F971" s="5"/>
      <c r="G971" s="5"/>
      <c r="H971" s="5"/>
      <c r="I971" s="92"/>
      <c r="J971" s="92"/>
      <c r="K971" s="92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>
      <c r="A972" s="5"/>
      <c r="B972" s="5"/>
      <c r="C972" s="5"/>
      <c r="D972" s="5"/>
      <c r="E972" s="5"/>
      <c r="F972" s="5"/>
      <c r="G972" s="5"/>
      <c r="H972" s="5"/>
      <c r="I972" s="92"/>
      <c r="J972" s="92"/>
      <c r="K972" s="92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>
      <c r="A973" s="5"/>
      <c r="B973" s="5"/>
      <c r="C973" s="5"/>
      <c r="D973" s="5"/>
      <c r="E973" s="5"/>
      <c r="F973" s="5"/>
      <c r="G973" s="5"/>
      <c r="H973" s="5"/>
      <c r="I973" s="92"/>
      <c r="J973" s="92"/>
      <c r="K973" s="92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>
      <c r="A974" s="5"/>
      <c r="B974" s="5"/>
      <c r="C974" s="5"/>
      <c r="D974" s="5"/>
      <c r="E974" s="5"/>
      <c r="F974" s="5"/>
      <c r="G974" s="5"/>
      <c r="H974" s="5"/>
      <c r="I974" s="92"/>
      <c r="J974" s="92"/>
      <c r="K974" s="92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>
      <c r="A975" s="5"/>
      <c r="B975" s="5"/>
      <c r="C975" s="5"/>
      <c r="D975" s="5"/>
      <c r="E975" s="5"/>
      <c r="F975" s="5"/>
      <c r="G975" s="5"/>
      <c r="H975" s="5"/>
      <c r="I975" s="92"/>
      <c r="J975" s="92"/>
      <c r="K975" s="92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>
      <c r="A976" s="5"/>
      <c r="B976" s="5"/>
      <c r="C976" s="5"/>
      <c r="D976" s="5"/>
      <c r="E976" s="5"/>
      <c r="F976" s="5"/>
      <c r="G976" s="5"/>
      <c r="H976" s="5"/>
      <c r="I976" s="92"/>
      <c r="J976" s="92"/>
      <c r="K976" s="92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>
      <c r="A977" s="5"/>
      <c r="B977" s="5"/>
      <c r="C977" s="5"/>
      <c r="D977" s="5"/>
      <c r="E977" s="5"/>
      <c r="F977" s="5"/>
      <c r="G977" s="5"/>
      <c r="H977" s="5"/>
      <c r="I977" s="92"/>
      <c r="J977" s="92"/>
      <c r="K977" s="92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>
      <c r="A978" s="5"/>
      <c r="B978" s="5"/>
      <c r="C978" s="5"/>
      <c r="D978" s="5"/>
      <c r="E978" s="5"/>
      <c r="F978" s="5"/>
      <c r="G978" s="5"/>
      <c r="H978" s="5"/>
      <c r="I978" s="92"/>
      <c r="J978" s="92"/>
      <c r="K978" s="92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>
      <c r="A979" s="5"/>
      <c r="B979" s="5"/>
      <c r="C979" s="5"/>
      <c r="D979" s="5"/>
      <c r="E979" s="5"/>
      <c r="F979" s="5"/>
      <c r="G979" s="5"/>
      <c r="H979" s="5"/>
      <c r="I979" s="92"/>
      <c r="J979" s="92"/>
      <c r="K979" s="92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>
      <c r="A980" s="5"/>
      <c r="B980" s="5"/>
      <c r="C980" s="5"/>
      <c r="D980" s="5"/>
      <c r="E980" s="5"/>
      <c r="F980" s="5"/>
      <c r="G980" s="5"/>
      <c r="H980" s="5"/>
      <c r="I980" s="92"/>
      <c r="J980" s="92"/>
      <c r="K980" s="92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>
      <c r="A981" s="5"/>
      <c r="B981" s="5"/>
      <c r="C981" s="5"/>
      <c r="D981" s="5"/>
      <c r="E981" s="5"/>
      <c r="F981" s="5"/>
      <c r="G981" s="5"/>
      <c r="H981" s="5"/>
      <c r="I981" s="92"/>
      <c r="J981" s="92"/>
      <c r="K981" s="92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>
      <c r="A982" s="5"/>
      <c r="B982" s="5"/>
      <c r="C982" s="5"/>
      <c r="D982" s="5"/>
      <c r="E982" s="5"/>
      <c r="F982" s="5"/>
      <c r="G982" s="5"/>
      <c r="H982" s="5"/>
      <c r="I982" s="92"/>
      <c r="J982" s="92"/>
      <c r="K982" s="92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>
      <c r="A983" s="5"/>
      <c r="B983" s="5"/>
      <c r="C983" s="5"/>
      <c r="D983" s="5"/>
      <c r="E983" s="5"/>
      <c r="F983" s="5"/>
      <c r="G983" s="5"/>
      <c r="H983" s="5"/>
      <c r="I983" s="92"/>
      <c r="J983" s="92"/>
      <c r="K983" s="92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>
      <c r="A984" s="5"/>
      <c r="B984" s="5"/>
      <c r="C984" s="5"/>
      <c r="D984" s="5"/>
      <c r="E984" s="5"/>
      <c r="F984" s="5"/>
      <c r="G984" s="5"/>
      <c r="H984" s="5"/>
      <c r="I984" s="92"/>
      <c r="J984" s="92"/>
      <c r="K984" s="92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>
      <c r="A985" s="5"/>
      <c r="B985" s="5"/>
      <c r="C985" s="5"/>
      <c r="D985" s="5"/>
      <c r="E985" s="5"/>
      <c r="F985" s="5"/>
      <c r="G985" s="5"/>
      <c r="H985" s="5"/>
      <c r="I985" s="92"/>
      <c r="J985" s="92"/>
      <c r="K985" s="92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>
      <c r="A986" s="5"/>
      <c r="B986" s="5"/>
      <c r="C986" s="5"/>
      <c r="D986" s="5"/>
      <c r="E986" s="5"/>
      <c r="F986" s="5"/>
      <c r="G986" s="5"/>
      <c r="H986" s="5"/>
      <c r="I986" s="92"/>
      <c r="J986" s="92"/>
      <c r="K986" s="92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>
      <c r="A987" s="5"/>
      <c r="B987" s="5"/>
      <c r="C987" s="5"/>
      <c r="D987" s="5"/>
      <c r="E987" s="5"/>
      <c r="F987" s="5"/>
      <c r="G987" s="5"/>
      <c r="H987" s="5"/>
      <c r="I987" s="92"/>
      <c r="J987" s="92"/>
      <c r="K987" s="92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>
      <c r="A988" s="5"/>
      <c r="B988" s="5"/>
      <c r="C988" s="5"/>
      <c r="D988" s="5"/>
      <c r="E988" s="5"/>
      <c r="F988" s="5"/>
      <c r="G988" s="5"/>
      <c r="H988" s="5"/>
      <c r="I988" s="92"/>
      <c r="J988" s="92"/>
      <c r="K988" s="92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>
      <c r="A989" s="5"/>
      <c r="B989" s="5"/>
      <c r="C989" s="5"/>
      <c r="D989" s="5"/>
      <c r="E989" s="5"/>
      <c r="F989" s="5"/>
      <c r="G989" s="5"/>
      <c r="H989" s="5"/>
      <c r="I989" s="92"/>
      <c r="J989" s="92"/>
      <c r="K989" s="92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>
      <c r="A990" s="5"/>
      <c r="B990" s="5"/>
      <c r="C990" s="5"/>
      <c r="D990" s="5"/>
      <c r="E990" s="5"/>
      <c r="F990" s="5"/>
      <c r="G990" s="5"/>
      <c r="H990" s="5"/>
      <c r="I990" s="92"/>
      <c r="J990" s="92"/>
      <c r="K990" s="92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>
      <c r="A991" s="5"/>
      <c r="B991" s="5"/>
      <c r="C991" s="5"/>
      <c r="D991" s="5"/>
      <c r="E991" s="5"/>
      <c r="F991" s="5"/>
      <c r="G991" s="5"/>
      <c r="H991" s="5"/>
      <c r="I991" s="92"/>
      <c r="J991" s="92"/>
      <c r="K991" s="92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>
      <c r="A992" s="5"/>
      <c r="B992" s="5"/>
      <c r="C992" s="5"/>
      <c r="D992" s="5"/>
      <c r="E992" s="5"/>
      <c r="F992" s="5"/>
      <c r="G992" s="5"/>
      <c r="H992" s="5"/>
      <c r="I992" s="92"/>
      <c r="J992" s="92"/>
      <c r="K992" s="92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>
      <c r="A993" s="5"/>
      <c r="B993" s="5"/>
      <c r="C993" s="5"/>
      <c r="D993" s="5"/>
      <c r="E993" s="5"/>
      <c r="F993" s="5"/>
      <c r="G993" s="5"/>
      <c r="H993" s="5"/>
      <c r="I993" s="92"/>
      <c r="J993" s="92"/>
      <c r="K993" s="92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>
      <c r="A994" s="5"/>
      <c r="B994" s="5"/>
      <c r="C994" s="5"/>
      <c r="D994" s="5"/>
      <c r="E994" s="5"/>
      <c r="F994" s="5"/>
      <c r="G994" s="5"/>
      <c r="H994" s="5"/>
      <c r="I994" s="92"/>
      <c r="J994" s="92"/>
      <c r="K994" s="92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>
      <c r="A995" s="5"/>
      <c r="B995" s="5"/>
      <c r="C995" s="5"/>
      <c r="D995" s="5"/>
      <c r="E995" s="5"/>
      <c r="F995" s="5"/>
      <c r="G995" s="5"/>
      <c r="H995" s="5"/>
      <c r="I995" s="92"/>
      <c r="J995" s="92"/>
      <c r="K995" s="92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>
      <c r="A996" s="5"/>
      <c r="B996" s="5"/>
      <c r="C996" s="5"/>
      <c r="D996" s="5"/>
      <c r="E996" s="5"/>
      <c r="F996" s="5"/>
      <c r="G996" s="5"/>
      <c r="H996" s="5"/>
      <c r="I996" s="92"/>
      <c r="J996" s="92"/>
      <c r="K996" s="92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>
      <c r="A997" s="5"/>
      <c r="B997" s="5"/>
      <c r="C997" s="5"/>
      <c r="D997" s="5"/>
      <c r="E997" s="5"/>
      <c r="F997" s="5"/>
      <c r="G997" s="5"/>
      <c r="H997" s="5"/>
      <c r="I997" s="92"/>
      <c r="J997" s="92"/>
      <c r="K997" s="92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>
      <c r="A998" s="5"/>
      <c r="B998" s="5"/>
      <c r="C998" s="5"/>
      <c r="D998" s="5"/>
      <c r="E998" s="5"/>
      <c r="F998" s="5"/>
      <c r="G998" s="5"/>
      <c r="H998" s="5"/>
      <c r="I998" s="92"/>
      <c r="J998" s="92"/>
      <c r="K998" s="92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>
      <c r="A999" s="5"/>
      <c r="B999" s="5"/>
      <c r="C999" s="5"/>
      <c r="D999" s="5"/>
      <c r="E999" s="5"/>
      <c r="F999" s="5"/>
      <c r="G999" s="5"/>
      <c r="H999" s="5"/>
      <c r="I999" s="92"/>
      <c r="J999" s="92"/>
      <c r="K999" s="92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92"/>
      <c r="J1000" s="92"/>
      <c r="K1000" s="92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92"/>
      <c r="J1001" s="92"/>
      <c r="K1001" s="92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92"/>
      <c r="J1002" s="92"/>
      <c r="K1002" s="92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92"/>
      <c r="J1003" s="92"/>
      <c r="K1003" s="92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92"/>
      <c r="J1004" s="92"/>
      <c r="K1004" s="92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92"/>
      <c r="J1005" s="92"/>
      <c r="K1005" s="92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92"/>
      <c r="J1006" s="92"/>
      <c r="K1006" s="92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92"/>
      <c r="J1007" s="92"/>
      <c r="K1007" s="92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92"/>
      <c r="J1008" s="92"/>
      <c r="K1008" s="92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92"/>
      <c r="J1009" s="92"/>
      <c r="K1009" s="92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</row>
    <row r="1010">
      <c r="I1010" s="418"/>
      <c r="J1010" s="418"/>
      <c r="K1010" s="418"/>
    </row>
  </sheetData>
  <mergeCells count="32">
    <mergeCell ref="A2:A13"/>
    <mergeCell ref="B13:F13"/>
    <mergeCell ref="A16:A29"/>
    <mergeCell ref="B16:L16"/>
    <mergeCell ref="B29:F29"/>
    <mergeCell ref="B32:L32"/>
    <mergeCell ref="B48:L48"/>
    <mergeCell ref="B45:F45"/>
    <mergeCell ref="B60:F60"/>
    <mergeCell ref="B63:L63"/>
    <mergeCell ref="B75:F75"/>
    <mergeCell ref="B78:L78"/>
    <mergeCell ref="B90:F90"/>
    <mergeCell ref="B93:L93"/>
    <mergeCell ref="A132:A141"/>
    <mergeCell ref="A144:A153"/>
    <mergeCell ref="A32:A45"/>
    <mergeCell ref="A48:A60"/>
    <mergeCell ref="A63:A75"/>
    <mergeCell ref="A78:A90"/>
    <mergeCell ref="A93:A103"/>
    <mergeCell ref="A106:A116"/>
    <mergeCell ref="A119:A129"/>
    <mergeCell ref="B141:F141"/>
    <mergeCell ref="B153:F153"/>
    <mergeCell ref="B103:F103"/>
    <mergeCell ref="B106:L106"/>
    <mergeCell ref="B116:F116"/>
    <mergeCell ref="B119:L119"/>
    <mergeCell ref="B129:F129"/>
    <mergeCell ref="B132:L132"/>
    <mergeCell ref="B144:L14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13"/>
    <col customWidth="1" min="3" max="3" width="47.63"/>
    <col customWidth="1" min="6" max="6" width="20.5"/>
    <col customWidth="1" min="9" max="9" width="16.0"/>
    <col customWidth="1" min="10" max="10" width="21.25"/>
    <col customWidth="1" min="11" max="11" width="23.38"/>
    <col customWidth="1" min="12" max="12" width="21.88"/>
  </cols>
  <sheetData>
    <row r="1">
      <c r="A1" s="15" t="s">
        <v>18</v>
      </c>
      <c r="B1" s="20" t="s">
        <v>1</v>
      </c>
      <c r="C1" s="20" t="s">
        <v>2</v>
      </c>
      <c r="D1" s="20" t="s">
        <v>6</v>
      </c>
      <c r="E1" s="20" t="s">
        <v>4</v>
      </c>
      <c r="F1" s="20" t="s">
        <v>5</v>
      </c>
      <c r="G1" s="20" t="s">
        <v>3</v>
      </c>
      <c r="H1" s="20" t="s">
        <v>7</v>
      </c>
      <c r="I1" s="26" t="s">
        <v>27</v>
      </c>
      <c r="J1" s="28" t="s">
        <v>10</v>
      </c>
      <c r="K1" s="31" t="s">
        <v>8</v>
      </c>
      <c r="L1" s="32" t="s">
        <v>9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38" t="str">
        <f>B2</f>
        <v>IT 101</v>
      </c>
      <c r="B2" s="42" t="s">
        <v>42</v>
      </c>
      <c r="C2" s="13"/>
      <c r="D2" s="13"/>
      <c r="E2" s="13"/>
      <c r="F2" s="13"/>
      <c r="G2" s="13"/>
      <c r="H2" s="13"/>
      <c r="I2" s="13"/>
      <c r="J2" s="13"/>
      <c r="K2" s="13"/>
      <c r="L2" s="18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B3" s="20" t="s">
        <v>1</v>
      </c>
      <c r="C3" s="20" t="s">
        <v>2</v>
      </c>
      <c r="D3" s="20" t="s">
        <v>6</v>
      </c>
      <c r="E3" s="20" t="s">
        <v>4</v>
      </c>
      <c r="F3" s="20" t="s">
        <v>5</v>
      </c>
      <c r="G3" s="20" t="s">
        <v>3</v>
      </c>
      <c r="H3" s="20" t="s">
        <v>7</v>
      </c>
      <c r="I3" s="26" t="s">
        <v>27</v>
      </c>
      <c r="J3" s="28" t="s">
        <v>10</v>
      </c>
      <c r="K3" s="31" t="s">
        <v>8</v>
      </c>
      <c r="L3" s="32" t="s">
        <v>9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B4" s="60" t="s">
        <v>45</v>
      </c>
      <c r="C4" s="60" t="s">
        <v>46</v>
      </c>
      <c r="D4" s="64">
        <v>3.0</v>
      </c>
      <c r="E4" s="64" t="s">
        <v>81</v>
      </c>
      <c r="F4" s="64" t="s">
        <v>82</v>
      </c>
      <c r="G4" s="67">
        <v>36534.0</v>
      </c>
      <c r="H4" s="70" t="s">
        <v>90</v>
      </c>
      <c r="I4" s="70" t="s">
        <v>93</v>
      </c>
      <c r="J4" s="71"/>
      <c r="K4" s="70" t="s">
        <v>98</v>
      </c>
      <c r="L4" s="73" t="s">
        <v>102</v>
      </c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B5" s="60" t="s">
        <v>37</v>
      </c>
      <c r="C5" s="60" t="s">
        <v>113</v>
      </c>
      <c r="D5" s="64">
        <v>3.0</v>
      </c>
      <c r="E5" s="64" t="s">
        <v>81</v>
      </c>
      <c r="F5" s="64" t="s">
        <v>118</v>
      </c>
      <c r="G5" s="67">
        <v>36536.0</v>
      </c>
      <c r="H5" s="70" t="s">
        <v>90</v>
      </c>
      <c r="I5" s="70" t="s">
        <v>93</v>
      </c>
      <c r="J5" s="71"/>
      <c r="K5" s="70" t="s">
        <v>130</v>
      </c>
      <c r="L5" s="73" t="s">
        <v>131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B6" s="60" t="s">
        <v>140</v>
      </c>
      <c r="C6" s="60" t="s">
        <v>141</v>
      </c>
      <c r="D6" s="64">
        <v>2.0</v>
      </c>
      <c r="E6" s="64" t="s">
        <v>145</v>
      </c>
      <c r="F6" s="64" t="s">
        <v>118</v>
      </c>
      <c r="G6" s="67">
        <v>36544.0</v>
      </c>
      <c r="H6" s="70" t="s">
        <v>151</v>
      </c>
      <c r="I6" s="70" t="s">
        <v>154</v>
      </c>
      <c r="J6" s="71"/>
      <c r="K6" s="80" t="s">
        <v>159</v>
      </c>
      <c r="L6" s="83" t="s">
        <v>161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B7" s="60" t="s">
        <v>169</v>
      </c>
      <c r="C7" s="60" t="s">
        <v>170</v>
      </c>
      <c r="D7" s="64">
        <v>1.0</v>
      </c>
      <c r="E7" s="64" t="s">
        <v>71</v>
      </c>
      <c r="F7" s="64" t="s">
        <v>173</v>
      </c>
      <c r="G7" s="67">
        <v>36542.0</v>
      </c>
      <c r="H7" s="70" t="s">
        <v>175</v>
      </c>
      <c r="I7" s="70" t="s">
        <v>175</v>
      </c>
      <c r="J7" s="71"/>
      <c r="K7" s="85"/>
      <c r="L7" s="8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B8" s="60" t="s">
        <v>183</v>
      </c>
      <c r="C8" s="60" t="s">
        <v>185</v>
      </c>
      <c r="D8" s="64">
        <v>3.0</v>
      </c>
      <c r="E8" s="64" t="s">
        <v>71</v>
      </c>
      <c r="F8" s="64" t="s">
        <v>186</v>
      </c>
      <c r="G8" s="67">
        <v>36546.0</v>
      </c>
      <c r="H8" s="70" t="s">
        <v>187</v>
      </c>
      <c r="I8" s="70" t="s">
        <v>188</v>
      </c>
      <c r="J8" s="71"/>
      <c r="K8" s="70" t="s">
        <v>190</v>
      </c>
      <c r="L8" s="73" t="s">
        <v>191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B9" s="60" t="s">
        <v>195</v>
      </c>
      <c r="C9" s="60" t="s">
        <v>196</v>
      </c>
      <c r="D9" s="64">
        <v>3.0</v>
      </c>
      <c r="E9" s="64" t="s">
        <v>54</v>
      </c>
      <c r="F9" s="64" t="s">
        <v>186</v>
      </c>
      <c r="G9" s="67">
        <v>36548.0</v>
      </c>
      <c r="H9" s="70" t="s">
        <v>197</v>
      </c>
      <c r="I9" s="70" t="s">
        <v>188</v>
      </c>
      <c r="J9" s="71"/>
      <c r="K9" s="70" t="s">
        <v>198</v>
      </c>
      <c r="L9" s="98" t="s">
        <v>199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B10" s="60" t="s">
        <v>200</v>
      </c>
      <c r="C10" s="60" t="s">
        <v>202</v>
      </c>
      <c r="D10" s="64">
        <v>1.5</v>
      </c>
      <c r="E10" s="64" t="s">
        <v>71</v>
      </c>
      <c r="F10" s="64" t="s">
        <v>203</v>
      </c>
      <c r="G10" s="67">
        <v>36528.0</v>
      </c>
      <c r="H10" s="70" t="s">
        <v>206</v>
      </c>
      <c r="I10" s="70" t="s">
        <v>188</v>
      </c>
      <c r="J10" s="71"/>
      <c r="K10" s="16" t="s">
        <v>104</v>
      </c>
      <c r="L10" s="73" t="s">
        <v>209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B11" s="60" t="s">
        <v>211</v>
      </c>
      <c r="C11" s="60" t="s">
        <v>95</v>
      </c>
      <c r="D11" s="64">
        <v>3.0</v>
      </c>
      <c r="E11" s="64" t="s">
        <v>83</v>
      </c>
      <c r="F11" s="64" t="s">
        <v>214</v>
      </c>
      <c r="G11" s="67">
        <v>36526.0</v>
      </c>
      <c r="H11" s="70" t="s">
        <v>215</v>
      </c>
      <c r="I11" s="70" t="s">
        <v>93</v>
      </c>
      <c r="J11" s="71"/>
      <c r="K11" s="16" t="s">
        <v>101</v>
      </c>
      <c r="L11" s="73" t="s">
        <v>218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B12" s="60" t="s">
        <v>107</v>
      </c>
      <c r="C12" s="60" t="s">
        <v>223</v>
      </c>
      <c r="D12" s="64">
        <v>2.0</v>
      </c>
      <c r="E12" s="64" t="s">
        <v>83</v>
      </c>
      <c r="F12" s="64" t="s">
        <v>224</v>
      </c>
      <c r="G12" s="67">
        <v>36524.0</v>
      </c>
      <c r="H12" s="70" t="s">
        <v>225</v>
      </c>
      <c r="I12" s="70" t="s">
        <v>93</v>
      </c>
      <c r="J12" s="71"/>
      <c r="K12" s="70" t="s">
        <v>228</v>
      </c>
      <c r="L12" s="73" t="s">
        <v>230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B13" s="60" t="s">
        <v>236</v>
      </c>
      <c r="C13" s="60" t="s">
        <v>238</v>
      </c>
      <c r="D13" s="64">
        <v>2.0</v>
      </c>
      <c r="E13" s="64" t="s">
        <v>145</v>
      </c>
      <c r="F13" s="64" t="s">
        <v>186</v>
      </c>
      <c r="G13" s="67">
        <v>36540.0</v>
      </c>
      <c r="H13" s="70" t="s">
        <v>187</v>
      </c>
      <c r="I13" s="70" t="s">
        <v>154</v>
      </c>
      <c r="J13" s="71"/>
      <c r="K13" s="111" t="s">
        <v>243</v>
      </c>
      <c r="L13" s="112" t="s">
        <v>246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B14" s="60" t="s">
        <v>251</v>
      </c>
      <c r="C14" s="60" t="s">
        <v>252</v>
      </c>
      <c r="D14" s="64">
        <v>1.0</v>
      </c>
      <c r="E14" s="64" t="s">
        <v>83</v>
      </c>
      <c r="F14" s="64" t="s">
        <v>257</v>
      </c>
      <c r="G14" s="67">
        <v>36538.0</v>
      </c>
      <c r="H14" s="70" t="s">
        <v>175</v>
      </c>
      <c r="I14" s="70" t="s">
        <v>175</v>
      </c>
      <c r="J14" s="71"/>
      <c r="K14" s="85"/>
      <c r="L14" s="120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B15" s="60" t="s">
        <v>119</v>
      </c>
      <c r="C15" s="60" t="s">
        <v>120</v>
      </c>
      <c r="D15" s="64">
        <v>3.0</v>
      </c>
      <c r="E15" s="64" t="s">
        <v>81</v>
      </c>
      <c r="F15" s="64" t="s">
        <v>271</v>
      </c>
      <c r="G15" s="67">
        <v>36530.0</v>
      </c>
      <c r="H15" s="70" t="s">
        <v>90</v>
      </c>
      <c r="I15" s="70" t="s">
        <v>93</v>
      </c>
      <c r="J15" s="71"/>
      <c r="K15" s="70" t="s">
        <v>98</v>
      </c>
      <c r="L15" s="73" t="s">
        <v>274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B16" s="60" t="s">
        <v>143</v>
      </c>
      <c r="C16" s="60" t="s">
        <v>144</v>
      </c>
      <c r="D16" s="64">
        <v>3.0</v>
      </c>
      <c r="E16" s="64" t="s">
        <v>145</v>
      </c>
      <c r="F16" s="64" t="s">
        <v>271</v>
      </c>
      <c r="G16" s="64">
        <v>36532.0</v>
      </c>
      <c r="H16" s="125" t="s">
        <v>281</v>
      </c>
      <c r="I16" s="125" t="s">
        <v>154</v>
      </c>
      <c r="J16" s="126"/>
      <c r="K16" s="125" t="s">
        <v>283</v>
      </c>
      <c r="L16" s="128" t="s">
        <v>285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129"/>
      <c r="B17" s="131" t="s">
        <v>167</v>
      </c>
      <c r="C17" s="13"/>
      <c r="D17" s="132">
        <f>SUM(D4:D16)</f>
        <v>30.5</v>
      </c>
      <c r="E17" s="131" t="s">
        <v>167</v>
      </c>
      <c r="F17" s="13"/>
      <c r="G17" s="13"/>
      <c r="H17" s="13"/>
      <c r="I17" s="13"/>
      <c r="J17" s="13"/>
      <c r="K17" s="13"/>
      <c r="L17" s="18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129"/>
      <c r="B18" s="5"/>
      <c r="C18" s="5"/>
      <c r="D18" s="5"/>
      <c r="E18" s="5"/>
      <c r="F18" s="5"/>
      <c r="G18" s="5"/>
      <c r="H18" s="5"/>
      <c r="I18" s="5"/>
      <c r="J18" s="5"/>
      <c r="K18" s="92"/>
      <c r="L18" s="13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38" t="str">
        <f>B19</f>
        <v>IT 102</v>
      </c>
      <c r="B19" s="42" t="s">
        <v>303</v>
      </c>
      <c r="C19" s="13"/>
      <c r="D19" s="13"/>
      <c r="E19" s="13"/>
      <c r="F19" s="13"/>
      <c r="G19" s="13"/>
      <c r="H19" s="13"/>
      <c r="I19" s="13"/>
      <c r="J19" s="13"/>
      <c r="K19" s="13"/>
      <c r="L19" s="18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B20" s="20" t="s">
        <v>1</v>
      </c>
      <c r="C20" s="20" t="s">
        <v>2</v>
      </c>
      <c r="D20" s="20" t="s">
        <v>6</v>
      </c>
      <c r="E20" s="20" t="s">
        <v>4</v>
      </c>
      <c r="F20" s="20" t="s">
        <v>5</v>
      </c>
      <c r="G20" s="20" t="s">
        <v>3</v>
      </c>
      <c r="H20" s="20" t="s">
        <v>7</v>
      </c>
      <c r="I20" s="26" t="s">
        <v>27</v>
      </c>
      <c r="J20" s="28" t="s">
        <v>10</v>
      </c>
      <c r="K20" s="31" t="s">
        <v>8</v>
      </c>
      <c r="L20" s="32" t="s">
        <v>9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B21" s="60" t="s">
        <v>45</v>
      </c>
      <c r="C21" s="60" t="s">
        <v>46</v>
      </c>
      <c r="D21" s="67">
        <v>3.0</v>
      </c>
      <c r="E21" s="67" t="s">
        <v>24</v>
      </c>
      <c r="F21" s="67" t="s">
        <v>82</v>
      </c>
      <c r="G21" s="67">
        <v>36572.0</v>
      </c>
      <c r="H21" s="70" t="s">
        <v>281</v>
      </c>
      <c r="I21" s="70" t="s">
        <v>93</v>
      </c>
      <c r="J21" s="71"/>
      <c r="K21" s="70" t="s">
        <v>330</v>
      </c>
      <c r="L21" s="73" t="s">
        <v>331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B22" s="60" t="s">
        <v>37</v>
      </c>
      <c r="C22" s="60" t="s">
        <v>113</v>
      </c>
      <c r="D22" s="67">
        <v>3.0</v>
      </c>
      <c r="E22" s="67" t="s">
        <v>81</v>
      </c>
      <c r="F22" s="67" t="s">
        <v>186</v>
      </c>
      <c r="G22" s="67">
        <v>36574.0</v>
      </c>
      <c r="H22" s="70" t="s">
        <v>90</v>
      </c>
      <c r="I22" s="70" t="s">
        <v>93</v>
      </c>
      <c r="J22" s="71"/>
      <c r="K22" s="70" t="s">
        <v>130</v>
      </c>
      <c r="L22" s="73" t="s">
        <v>337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B23" s="60" t="s">
        <v>140</v>
      </c>
      <c r="C23" s="60" t="s">
        <v>141</v>
      </c>
      <c r="D23" s="67">
        <v>2.0</v>
      </c>
      <c r="E23" s="67" t="s">
        <v>145</v>
      </c>
      <c r="F23" s="67" t="s">
        <v>186</v>
      </c>
      <c r="G23" s="67">
        <v>36556.0</v>
      </c>
      <c r="H23" s="70" t="s">
        <v>151</v>
      </c>
      <c r="I23" s="70" t="s">
        <v>154</v>
      </c>
      <c r="J23" s="71"/>
      <c r="K23" s="80" t="s">
        <v>159</v>
      </c>
      <c r="L23" s="83" t="s">
        <v>343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B24" s="60" t="s">
        <v>169</v>
      </c>
      <c r="C24" s="60" t="s">
        <v>170</v>
      </c>
      <c r="D24" s="67">
        <v>1.0</v>
      </c>
      <c r="E24" s="67" t="s">
        <v>71</v>
      </c>
      <c r="F24" s="67" t="s">
        <v>349</v>
      </c>
      <c r="G24" s="67">
        <v>36554.0</v>
      </c>
      <c r="H24" s="70" t="s">
        <v>175</v>
      </c>
      <c r="I24" s="70" t="s">
        <v>175</v>
      </c>
      <c r="J24" s="71"/>
      <c r="K24" s="85"/>
      <c r="L24" s="8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B25" s="60" t="s">
        <v>183</v>
      </c>
      <c r="C25" s="60" t="s">
        <v>185</v>
      </c>
      <c r="D25" s="67">
        <v>3.0</v>
      </c>
      <c r="E25" s="67" t="s">
        <v>71</v>
      </c>
      <c r="F25" s="67" t="s">
        <v>118</v>
      </c>
      <c r="G25" s="67">
        <v>36558.0</v>
      </c>
      <c r="H25" s="70" t="s">
        <v>187</v>
      </c>
      <c r="I25" s="70" t="s">
        <v>188</v>
      </c>
      <c r="J25" s="71"/>
      <c r="K25" s="70" t="s">
        <v>190</v>
      </c>
      <c r="L25" s="73" t="s">
        <v>191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B26" s="60" t="s">
        <v>195</v>
      </c>
      <c r="C26" s="60" t="s">
        <v>196</v>
      </c>
      <c r="D26" s="67">
        <v>3.0</v>
      </c>
      <c r="E26" s="67" t="s">
        <v>54</v>
      </c>
      <c r="F26" s="67" t="s">
        <v>118</v>
      </c>
      <c r="G26" s="67">
        <v>36560.0</v>
      </c>
      <c r="H26" s="70" t="s">
        <v>197</v>
      </c>
      <c r="I26" s="70" t="s">
        <v>188</v>
      </c>
      <c r="J26" s="71"/>
      <c r="K26" s="70" t="s">
        <v>198</v>
      </c>
      <c r="L26" s="98" t="s">
        <v>362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B27" s="60" t="s">
        <v>200</v>
      </c>
      <c r="C27" s="60" t="s">
        <v>202</v>
      </c>
      <c r="D27" s="67">
        <v>1.5</v>
      </c>
      <c r="E27" s="67" t="s">
        <v>71</v>
      </c>
      <c r="F27" s="67" t="s">
        <v>365</v>
      </c>
      <c r="G27" s="67">
        <v>36562.0</v>
      </c>
      <c r="H27" s="70" t="s">
        <v>206</v>
      </c>
      <c r="I27" s="70" t="s">
        <v>188</v>
      </c>
      <c r="J27" s="71"/>
      <c r="K27" s="16" t="s">
        <v>367</v>
      </c>
      <c r="L27" s="155" t="s">
        <v>368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B28" s="60" t="s">
        <v>211</v>
      </c>
      <c r="C28" s="60" t="s">
        <v>95</v>
      </c>
      <c r="D28" s="67">
        <v>3.0</v>
      </c>
      <c r="E28" s="67" t="s">
        <v>81</v>
      </c>
      <c r="F28" s="67" t="s">
        <v>118</v>
      </c>
      <c r="G28" s="67">
        <v>36566.0</v>
      </c>
      <c r="H28" s="70" t="s">
        <v>215</v>
      </c>
      <c r="I28" s="70" t="s">
        <v>93</v>
      </c>
      <c r="J28" s="71"/>
      <c r="K28" s="70"/>
      <c r="L28" s="98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B29" s="60" t="s">
        <v>107</v>
      </c>
      <c r="C29" s="60" t="s">
        <v>223</v>
      </c>
      <c r="D29" s="67">
        <v>2.0</v>
      </c>
      <c r="E29" s="67" t="s">
        <v>145</v>
      </c>
      <c r="F29" s="67" t="s">
        <v>349</v>
      </c>
      <c r="G29" s="67">
        <v>36564.0</v>
      </c>
      <c r="H29" s="70" t="s">
        <v>225</v>
      </c>
      <c r="I29" s="70" t="s">
        <v>93</v>
      </c>
      <c r="J29" s="71"/>
      <c r="K29" s="70" t="s">
        <v>228</v>
      </c>
      <c r="L29" s="73" t="s">
        <v>388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B30" s="60" t="s">
        <v>236</v>
      </c>
      <c r="C30" s="60" t="s">
        <v>238</v>
      </c>
      <c r="D30" s="67">
        <v>2.0</v>
      </c>
      <c r="E30" s="67" t="s">
        <v>145</v>
      </c>
      <c r="F30" s="67" t="s">
        <v>118</v>
      </c>
      <c r="G30" s="67">
        <v>36552.0</v>
      </c>
      <c r="H30" s="70" t="s">
        <v>187</v>
      </c>
      <c r="I30" s="70" t="s">
        <v>154</v>
      </c>
      <c r="J30" s="71"/>
      <c r="K30" s="111" t="s">
        <v>243</v>
      </c>
      <c r="L30" s="159" t="s">
        <v>400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B31" s="60" t="s">
        <v>251</v>
      </c>
      <c r="C31" s="60" t="s">
        <v>252</v>
      </c>
      <c r="D31" s="67">
        <v>1.0</v>
      </c>
      <c r="E31" s="67" t="s">
        <v>83</v>
      </c>
      <c r="F31" s="67" t="s">
        <v>405</v>
      </c>
      <c r="G31" s="67">
        <v>36550.0</v>
      </c>
      <c r="H31" s="70" t="s">
        <v>175</v>
      </c>
      <c r="I31" s="70" t="s">
        <v>175</v>
      </c>
      <c r="J31" s="71"/>
      <c r="K31" s="85"/>
      <c r="L31" s="120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B32" s="60" t="s">
        <v>119</v>
      </c>
      <c r="C32" s="60" t="s">
        <v>120</v>
      </c>
      <c r="D32" s="67">
        <v>3.0</v>
      </c>
      <c r="E32" s="67" t="s">
        <v>24</v>
      </c>
      <c r="F32" s="67" t="s">
        <v>271</v>
      </c>
      <c r="G32" s="67">
        <v>36570.0</v>
      </c>
      <c r="H32" s="70" t="s">
        <v>281</v>
      </c>
      <c r="I32" s="70" t="s">
        <v>93</v>
      </c>
      <c r="J32" s="71"/>
      <c r="K32" s="70" t="s">
        <v>416</v>
      </c>
      <c r="L32" s="73" t="s">
        <v>417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B33" s="60" t="s">
        <v>143</v>
      </c>
      <c r="C33" s="60" t="s">
        <v>144</v>
      </c>
      <c r="D33" s="67">
        <v>3.0</v>
      </c>
      <c r="E33" s="67" t="s">
        <v>24</v>
      </c>
      <c r="F33" s="67" t="s">
        <v>118</v>
      </c>
      <c r="G33" s="67">
        <v>36568.0</v>
      </c>
      <c r="H33" s="70" t="s">
        <v>281</v>
      </c>
      <c r="I33" s="70" t="s">
        <v>93</v>
      </c>
      <c r="J33" s="126"/>
      <c r="K33" s="70" t="s">
        <v>283</v>
      </c>
      <c r="L33" s="128" t="s">
        <v>420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B34" s="131" t="s">
        <v>167</v>
      </c>
      <c r="C34" s="13"/>
      <c r="D34" s="132">
        <f>SUM(D21:D33)</f>
        <v>30.5</v>
      </c>
      <c r="E34" s="131" t="s">
        <v>167</v>
      </c>
      <c r="F34" s="13"/>
      <c r="G34" s="13"/>
      <c r="H34" s="13"/>
      <c r="I34" s="13"/>
      <c r="J34" s="13"/>
      <c r="K34" s="13"/>
      <c r="L34" s="18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129"/>
      <c r="B35" s="5"/>
      <c r="C35" s="5"/>
      <c r="D35" s="5"/>
      <c r="E35" s="5"/>
      <c r="F35" s="5"/>
      <c r="G35" s="5"/>
      <c r="H35" s="5"/>
      <c r="I35" s="5"/>
      <c r="J35" s="5"/>
      <c r="K35" s="92"/>
      <c r="L35" s="13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129"/>
      <c r="B36" s="5"/>
      <c r="C36" s="5"/>
      <c r="D36" s="5"/>
      <c r="E36" s="5"/>
      <c r="F36" s="5"/>
      <c r="G36" s="5"/>
      <c r="H36" s="5"/>
      <c r="I36" s="5"/>
      <c r="J36" s="5"/>
      <c r="K36" s="92"/>
      <c r="L36" s="13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38" t="str">
        <f>B37</f>
        <v>IT 103</v>
      </c>
      <c r="B37" s="42" t="s">
        <v>440</v>
      </c>
      <c r="C37" s="13"/>
      <c r="D37" s="13"/>
      <c r="E37" s="13"/>
      <c r="F37" s="13"/>
      <c r="G37" s="13"/>
      <c r="H37" s="13"/>
      <c r="I37" s="13"/>
      <c r="J37" s="13"/>
      <c r="K37" s="13"/>
      <c r="L37" s="18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B38" s="20" t="s">
        <v>1</v>
      </c>
      <c r="C38" s="20" t="s">
        <v>2</v>
      </c>
      <c r="D38" s="20" t="s">
        <v>6</v>
      </c>
      <c r="E38" s="20" t="s">
        <v>4</v>
      </c>
      <c r="F38" s="20" t="s">
        <v>5</v>
      </c>
      <c r="G38" s="20" t="s">
        <v>3</v>
      </c>
      <c r="H38" s="20" t="s">
        <v>7</v>
      </c>
      <c r="I38" s="26" t="s">
        <v>27</v>
      </c>
      <c r="J38" s="28" t="s">
        <v>10</v>
      </c>
      <c r="K38" s="31" t="s">
        <v>8</v>
      </c>
      <c r="L38" s="32" t="s">
        <v>9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B39" s="60" t="s">
        <v>45</v>
      </c>
      <c r="C39" s="60" t="s">
        <v>46</v>
      </c>
      <c r="D39" s="67">
        <v>3.0</v>
      </c>
      <c r="E39" s="67" t="s">
        <v>83</v>
      </c>
      <c r="F39" s="67" t="s">
        <v>82</v>
      </c>
      <c r="G39" s="67">
        <v>36592.0</v>
      </c>
      <c r="H39" s="70" t="s">
        <v>281</v>
      </c>
      <c r="I39" s="70" t="s">
        <v>93</v>
      </c>
      <c r="J39" s="71"/>
      <c r="K39" s="70" t="s">
        <v>98</v>
      </c>
      <c r="L39" s="73" t="s">
        <v>463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B40" s="60" t="s">
        <v>37</v>
      </c>
      <c r="C40" s="60" t="s">
        <v>113</v>
      </c>
      <c r="D40" s="67">
        <v>3.0</v>
      </c>
      <c r="E40" s="67" t="s">
        <v>71</v>
      </c>
      <c r="F40" s="67" t="s">
        <v>118</v>
      </c>
      <c r="G40" s="67">
        <v>36594.0</v>
      </c>
      <c r="H40" s="70" t="s">
        <v>215</v>
      </c>
      <c r="I40" s="70" t="s">
        <v>188</v>
      </c>
      <c r="J40" s="71"/>
      <c r="K40" s="70" t="s">
        <v>130</v>
      </c>
      <c r="L40" s="73" t="s">
        <v>481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B41" s="60" t="s">
        <v>140</v>
      </c>
      <c r="C41" s="60" t="s">
        <v>141</v>
      </c>
      <c r="D41" s="67">
        <v>2.0</v>
      </c>
      <c r="E41" s="67" t="s">
        <v>145</v>
      </c>
      <c r="F41" s="67" t="s">
        <v>82</v>
      </c>
      <c r="G41" s="67">
        <v>36582.0</v>
      </c>
      <c r="H41" s="70" t="s">
        <v>151</v>
      </c>
      <c r="I41" s="70" t="s">
        <v>154</v>
      </c>
      <c r="J41" s="71"/>
      <c r="K41" s="80" t="s">
        <v>159</v>
      </c>
      <c r="L41" s="83" t="s">
        <v>495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B42" s="60" t="s">
        <v>169</v>
      </c>
      <c r="C42" s="60" t="s">
        <v>170</v>
      </c>
      <c r="D42" s="67">
        <v>1.0</v>
      </c>
      <c r="E42" s="67" t="s">
        <v>71</v>
      </c>
      <c r="F42" s="67" t="s">
        <v>500</v>
      </c>
      <c r="G42" s="67">
        <v>36580.0</v>
      </c>
      <c r="H42" s="70" t="s">
        <v>175</v>
      </c>
      <c r="I42" s="70" t="s">
        <v>175</v>
      </c>
      <c r="J42" s="71"/>
      <c r="K42" s="85"/>
      <c r="L42" s="8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B43" s="60" t="s">
        <v>183</v>
      </c>
      <c r="C43" s="60" t="s">
        <v>185</v>
      </c>
      <c r="D43" s="67">
        <v>3.0</v>
      </c>
      <c r="E43" s="67" t="s">
        <v>71</v>
      </c>
      <c r="F43" s="67" t="s">
        <v>271</v>
      </c>
      <c r="G43" s="67">
        <v>36584.0</v>
      </c>
      <c r="H43" s="70" t="s">
        <v>187</v>
      </c>
      <c r="I43" s="70" t="s">
        <v>188</v>
      </c>
      <c r="J43" s="71"/>
      <c r="K43" s="70" t="s">
        <v>190</v>
      </c>
      <c r="L43" s="73" t="s">
        <v>191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B44" s="60" t="s">
        <v>195</v>
      </c>
      <c r="C44" s="60" t="s">
        <v>196</v>
      </c>
      <c r="D44" s="67">
        <v>3.0</v>
      </c>
      <c r="E44" s="67" t="s">
        <v>54</v>
      </c>
      <c r="F44" s="67" t="s">
        <v>271</v>
      </c>
      <c r="G44" s="67">
        <v>36586.0</v>
      </c>
      <c r="H44" s="70" t="s">
        <v>197</v>
      </c>
      <c r="I44" s="70" t="s">
        <v>188</v>
      </c>
      <c r="J44" s="71"/>
      <c r="K44" s="70" t="s">
        <v>198</v>
      </c>
      <c r="L44" s="98" t="s">
        <v>515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B45" s="60" t="s">
        <v>200</v>
      </c>
      <c r="C45" s="60" t="s">
        <v>202</v>
      </c>
      <c r="D45" s="67">
        <v>1.5</v>
      </c>
      <c r="E45" s="67" t="s">
        <v>24</v>
      </c>
      <c r="F45" s="67" t="s">
        <v>523</v>
      </c>
      <c r="G45" s="67">
        <v>36598.0</v>
      </c>
      <c r="H45" s="70" t="s">
        <v>206</v>
      </c>
      <c r="I45" s="70" t="s">
        <v>93</v>
      </c>
      <c r="J45" s="71"/>
      <c r="K45" s="16" t="s">
        <v>367</v>
      </c>
      <c r="L45" s="139" t="s">
        <v>525</v>
      </c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B46" s="60" t="s">
        <v>211</v>
      </c>
      <c r="C46" s="60" t="s">
        <v>95</v>
      </c>
      <c r="D46" s="67">
        <v>3.0</v>
      </c>
      <c r="E46" s="67" t="s">
        <v>24</v>
      </c>
      <c r="F46" s="67" t="s">
        <v>82</v>
      </c>
      <c r="G46" s="67">
        <v>36600.0</v>
      </c>
      <c r="H46" s="70" t="s">
        <v>90</v>
      </c>
      <c r="I46" s="70" t="s">
        <v>93</v>
      </c>
      <c r="J46" s="71"/>
      <c r="K46" s="16" t="s">
        <v>110</v>
      </c>
      <c r="L46" s="73" t="s">
        <v>531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B47" s="60" t="s">
        <v>107</v>
      </c>
      <c r="C47" s="60" t="s">
        <v>223</v>
      </c>
      <c r="D47" s="67">
        <v>2.0</v>
      </c>
      <c r="E47" s="67" t="s">
        <v>71</v>
      </c>
      <c r="F47" s="67" t="s">
        <v>534</v>
      </c>
      <c r="G47" s="67">
        <v>36596.0</v>
      </c>
      <c r="H47" s="70" t="s">
        <v>225</v>
      </c>
      <c r="I47" s="70" t="s">
        <v>188</v>
      </c>
      <c r="J47" s="71"/>
      <c r="K47" s="70" t="s">
        <v>536</v>
      </c>
      <c r="L47" s="73" t="s">
        <v>537</v>
      </c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B48" s="60" t="s">
        <v>236</v>
      </c>
      <c r="C48" s="60" t="s">
        <v>238</v>
      </c>
      <c r="D48" s="67">
        <v>2.0</v>
      </c>
      <c r="E48" s="67" t="s">
        <v>145</v>
      </c>
      <c r="F48" s="67" t="s">
        <v>271</v>
      </c>
      <c r="G48" s="67">
        <v>36578.0</v>
      </c>
      <c r="H48" s="70" t="s">
        <v>187</v>
      </c>
      <c r="I48" s="70" t="s">
        <v>154</v>
      </c>
      <c r="J48" s="71"/>
      <c r="K48" s="111" t="s">
        <v>243</v>
      </c>
      <c r="L48" s="159" t="s">
        <v>541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B49" s="60" t="s">
        <v>251</v>
      </c>
      <c r="C49" s="60" t="s">
        <v>252</v>
      </c>
      <c r="D49" s="67">
        <v>1.0</v>
      </c>
      <c r="E49" s="67" t="s">
        <v>83</v>
      </c>
      <c r="F49" s="67" t="s">
        <v>545</v>
      </c>
      <c r="G49" s="67">
        <v>36576.0</v>
      </c>
      <c r="H49" s="70" t="s">
        <v>175</v>
      </c>
      <c r="I49" s="70" t="s">
        <v>175</v>
      </c>
      <c r="J49" s="71"/>
      <c r="K49" s="85"/>
      <c r="L49" s="120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B50" s="60" t="s">
        <v>119</v>
      </c>
      <c r="C50" s="60" t="s">
        <v>120</v>
      </c>
      <c r="D50" s="67">
        <v>3.0</v>
      </c>
      <c r="E50" s="67" t="s">
        <v>83</v>
      </c>
      <c r="F50" s="67" t="s">
        <v>271</v>
      </c>
      <c r="G50" s="67">
        <v>36590.0</v>
      </c>
      <c r="H50" s="70" t="s">
        <v>281</v>
      </c>
      <c r="I50" s="70" t="s">
        <v>93</v>
      </c>
      <c r="J50" s="71"/>
      <c r="K50" s="70" t="s">
        <v>416</v>
      </c>
      <c r="L50" s="73" t="s">
        <v>551</v>
      </c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B51" s="60" t="s">
        <v>143</v>
      </c>
      <c r="C51" s="60" t="s">
        <v>144</v>
      </c>
      <c r="D51" s="67">
        <v>3.0</v>
      </c>
      <c r="E51" s="67" t="s">
        <v>83</v>
      </c>
      <c r="F51" s="67" t="s">
        <v>118</v>
      </c>
      <c r="G51" s="67">
        <v>36588.0</v>
      </c>
      <c r="H51" s="70" t="s">
        <v>281</v>
      </c>
      <c r="I51" s="70" t="s">
        <v>93</v>
      </c>
      <c r="J51" s="71"/>
      <c r="K51" s="70" t="s">
        <v>561</v>
      </c>
      <c r="L51" s="73" t="s">
        <v>562</v>
      </c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B52" s="131" t="s">
        <v>167</v>
      </c>
      <c r="C52" s="13"/>
      <c r="D52" s="132">
        <f>SUM(D39:D51)</f>
        <v>30.5</v>
      </c>
      <c r="E52" s="131" t="s">
        <v>167</v>
      </c>
      <c r="F52" s="13"/>
      <c r="G52" s="13"/>
      <c r="H52" s="13"/>
      <c r="I52" s="13"/>
      <c r="J52" s="13"/>
      <c r="K52" s="13"/>
      <c r="L52" s="18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129"/>
      <c r="B53" s="5"/>
      <c r="C53" s="5"/>
      <c r="D53" s="5"/>
      <c r="E53" s="5"/>
      <c r="F53" s="5"/>
      <c r="G53" s="5"/>
      <c r="H53" s="5"/>
      <c r="I53" s="5"/>
      <c r="J53" s="5"/>
      <c r="K53" s="92"/>
      <c r="L53" s="13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129"/>
      <c r="B54" s="5"/>
      <c r="C54" s="5"/>
      <c r="D54" s="5"/>
      <c r="E54" s="5"/>
      <c r="F54" s="5"/>
      <c r="G54" s="5"/>
      <c r="H54" s="5"/>
      <c r="I54" s="5"/>
      <c r="J54" s="5"/>
      <c r="K54" s="92"/>
      <c r="L54" s="13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38" t="str">
        <f>B55</f>
        <v>IT 104</v>
      </c>
      <c r="B55" s="42" t="s">
        <v>580</v>
      </c>
      <c r="C55" s="13"/>
      <c r="D55" s="13"/>
      <c r="E55" s="13"/>
      <c r="F55" s="13"/>
      <c r="G55" s="13"/>
      <c r="H55" s="13"/>
      <c r="I55" s="13"/>
      <c r="J55" s="13"/>
      <c r="K55" s="13"/>
      <c r="L55" s="18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B56" s="20" t="s">
        <v>1</v>
      </c>
      <c r="C56" s="20" t="s">
        <v>2</v>
      </c>
      <c r="D56" s="20" t="s">
        <v>6</v>
      </c>
      <c r="E56" s="20" t="s">
        <v>4</v>
      </c>
      <c r="F56" s="20" t="s">
        <v>5</v>
      </c>
      <c r="G56" s="20" t="s">
        <v>3</v>
      </c>
      <c r="H56" s="20" t="s">
        <v>7</v>
      </c>
      <c r="I56" s="26" t="s">
        <v>27</v>
      </c>
      <c r="J56" s="28" t="s">
        <v>10</v>
      </c>
      <c r="K56" s="31" t="s">
        <v>8</v>
      </c>
      <c r="L56" s="32" t="s">
        <v>9</v>
      </c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B57" s="60" t="s">
        <v>45</v>
      </c>
      <c r="C57" s="60" t="s">
        <v>46</v>
      </c>
      <c r="D57" s="67">
        <v>3.0</v>
      </c>
      <c r="E57" s="67" t="s">
        <v>83</v>
      </c>
      <c r="F57" s="67" t="s">
        <v>118</v>
      </c>
      <c r="G57" s="67">
        <v>36606.0</v>
      </c>
      <c r="H57" s="70" t="s">
        <v>466</v>
      </c>
      <c r="I57" s="70" t="s">
        <v>93</v>
      </c>
      <c r="J57" s="71"/>
      <c r="K57" s="70" t="s">
        <v>590</v>
      </c>
      <c r="L57" s="73" t="s">
        <v>591</v>
      </c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B58" s="60" t="s">
        <v>37</v>
      </c>
      <c r="C58" s="60" t="s">
        <v>113</v>
      </c>
      <c r="D58" s="67">
        <v>3.0</v>
      </c>
      <c r="E58" s="67" t="s">
        <v>71</v>
      </c>
      <c r="F58" s="67" t="s">
        <v>271</v>
      </c>
      <c r="G58" s="67">
        <v>36616.0</v>
      </c>
      <c r="H58" s="70" t="s">
        <v>215</v>
      </c>
      <c r="I58" s="70" t="s">
        <v>188</v>
      </c>
      <c r="J58" s="71"/>
      <c r="K58" s="70" t="s">
        <v>130</v>
      </c>
      <c r="L58" s="73" t="s">
        <v>599</v>
      </c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B59" s="60" t="s">
        <v>140</v>
      </c>
      <c r="C59" s="60" t="s">
        <v>141</v>
      </c>
      <c r="D59" s="67">
        <v>2.0</v>
      </c>
      <c r="E59" s="67" t="s">
        <v>145</v>
      </c>
      <c r="F59" s="67" t="s">
        <v>271</v>
      </c>
      <c r="G59" s="67">
        <v>36624.0</v>
      </c>
      <c r="H59" s="70" t="s">
        <v>151</v>
      </c>
      <c r="I59" s="70" t="s">
        <v>154</v>
      </c>
      <c r="J59" s="71"/>
      <c r="K59" s="80" t="s">
        <v>159</v>
      </c>
      <c r="L59" s="83" t="s">
        <v>612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B60" s="60" t="s">
        <v>169</v>
      </c>
      <c r="C60" s="60" t="s">
        <v>170</v>
      </c>
      <c r="D60" s="67">
        <v>1.0</v>
      </c>
      <c r="E60" s="67" t="s">
        <v>71</v>
      </c>
      <c r="F60" s="67" t="s">
        <v>545</v>
      </c>
      <c r="G60" s="67">
        <v>36622.0</v>
      </c>
      <c r="H60" s="70" t="s">
        <v>175</v>
      </c>
      <c r="I60" s="70" t="s">
        <v>175</v>
      </c>
      <c r="J60" s="71"/>
      <c r="K60" s="85"/>
      <c r="L60" s="8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B61" s="60" t="s">
        <v>183</v>
      </c>
      <c r="C61" s="60" t="s">
        <v>185</v>
      </c>
      <c r="D61" s="67">
        <v>3.0</v>
      </c>
      <c r="E61" s="67" t="s">
        <v>71</v>
      </c>
      <c r="F61" s="67" t="s">
        <v>82</v>
      </c>
      <c r="G61" s="67">
        <v>36626.0</v>
      </c>
      <c r="H61" s="70" t="s">
        <v>187</v>
      </c>
      <c r="I61" s="70" t="s">
        <v>188</v>
      </c>
      <c r="J61" s="71"/>
      <c r="K61" s="70" t="s">
        <v>190</v>
      </c>
      <c r="L61" s="73" t="s">
        <v>191</v>
      </c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B62" s="60" t="s">
        <v>195</v>
      </c>
      <c r="C62" s="60" t="s">
        <v>196</v>
      </c>
      <c r="D62" s="67">
        <v>3.0</v>
      </c>
      <c r="E62" s="67" t="s">
        <v>54</v>
      </c>
      <c r="F62" s="67" t="s">
        <v>82</v>
      </c>
      <c r="G62" s="67">
        <v>36628.0</v>
      </c>
      <c r="H62" s="70" t="s">
        <v>197</v>
      </c>
      <c r="I62" s="70" t="s">
        <v>188</v>
      </c>
      <c r="J62" s="71"/>
      <c r="K62" s="70" t="s">
        <v>198</v>
      </c>
      <c r="L62" s="98" t="s">
        <v>638</v>
      </c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B63" s="60" t="s">
        <v>200</v>
      </c>
      <c r="C63" s="60" t="s">
        <v>202</v>
      </c>
      <c r="D63" s="67">
        <v>1.5</v>
      </c>
      <c r="E63" s="67" t="s">
        <v>71</v>
      </c>
      <c r="F63" s="67" t="s">
        <v>645</v>
      </c>
      <c r="G63" s="67">
        <v>36614.0</v>
      </c>
      <c r="H63" s="70" t="s">
        <v>206</v>
      </c>
      <c r="I63" s="70" t="s">
        <v>188</v>
      </c>
      <c r="J63" s="71"/>
      <c r="K63" s="16" t="s">
        <v>553</v>
      </c>
      <c r="L63" s="73" t="s">
        <v>649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B64" s="60" t="s">
        <v>211</v>
      </c>
      <c r="C64" s="60" t="s">
        <v>95</v>
      </c>
      <c r="D64" s="67">
        <v>3.0</v>
      </c>
      <c r="E64" s="67" t="s">
        <v>83</v>
      </c>
      <c r="F64" s="67" t="s">
        <v>271</v>
      </c>
      <c r="G64" s="67">
        <v>36608.0</v>
      </c>
      <c r="H64" s="70" t="s">
        <v>466</v>
      </c>
      <c r="I64" s="70" t="s">
        <v>93</v>
      </c>
      <c r="J64" s="71"/>
      <c r="K64" s="16" t="s">
        <v>101</v>
      </c>
      <c r="L64" s="98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B65" s="60" t="s">
        <v>107</v>
      </c>
      <c r="C65" s="60" t="s">
        <v>223</v>
      </c>
      <c r="D65" s="67">
        <v>2.0</v>
      </c>
      <c r="E65" s="67" t="s">
        <v>71</v>
      </c>
      <c r="F65" s="67" t="s">
        <v>656</v>
      </c>
      <c r="G65" s="67">
        <v>36612.0</v>
      </c>
      <c r="H65" s="70" t="s">
        <v>225</v>
      </c>
      <c r="I65" s="70" t="s">
        <v>188</v>
      </c>
      <c r="J65" s="71"/>
      <c r="K65" s="70" t="s">
        <v>228</v>
      </c>
      <c r="L65" s="73" t="s">
        <v>661</v>
      </c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B66" s="60" t="s">
        <v>236</v>
      </c>
      <c r="C66" s="60" t="s">
        <v>238</v>
      </c>
      <c r="D66" s="67">
        <v>2.0</v>
      </c>
      <c r="E66" s="67" t="s">
        <v>145</v>
      </c>
      <c r="F66" s="67" t="s">
        <v>82</v>
      </c>
      <c r="G66" s="67">
        <v>36620.0</v>
      </c>
      <c r="H66" s="70" t="s">
        <v>187</v>
      </c>
      <c r="I66" s="70" t="s">
        <v>154</v>
      </c>
      <c r="J66" s="71"/>
      <c r="K66" s="111" t="s">
        <v>243</v>
      </c>
      <c r="L66" s="159" t="s">
        <v>666</v>
      </c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B67" s="60" t="s">
        <v>251</v>
      </c>
      <c r="C67" s="60" t="s">
        <v>252</v>
      </c>
      <c r="D67" s="67">
        <v>1.0</v>
      </c>
      <c r="E67" s="67" t="s">
        <v>83</v>
      </c>
      <c r="F67" s="67" t="s">
        <v>500</v>
      </c>
      <c r="G67" s="67">
        <v>36618.0</v>
      </c>
      <c r="H67" s="70" t="s">
        <v>175</v>
      </c>
      <c r="I67" s="70" t="s">
        <v>175</v>
      </c>
      <c r="J67" s="71"/>
      <c r="K67" s="85"/>
      <c r="L67" s="120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B68" s="60" t="s">
        <v>119</v>
      </c>
      <c r="C68" s="60" t="s">
        <v>120</v>
      </c>
      <c r="D68" s="67">
        <v>3.0</v>
      </c>
      <c r="E68" s="67" t="s">
        <v>83</v>
      </c>
      <c r="F68" s="67" t="s">
        <v>186</v>
      </c>
      <c r="G68" s="67">
        <v>36604.0</v>
      </c>
      <c r="H68" s="70" t="s">
        <v>466</v>
      </c>
      <c r="I68" s="70" t="s">
        <v>93</v>
      </c>
      <c r="J68" s="71"/>
      <c r="K68" s="70" t="s">
        <v>590</v>
      </c>
      <c r="L68" s="73" t="s">
        <v>688</v>
      </c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B69" s="60" t="s">
        <v>143</v>
      </c>
      <c r="C69" s="60" t="s">
        <v>144</v>
      </c>
      <c r="D69" s="67">
        <v>3.0</v>
      </c>
      <c r="E69" s="67" t="s">
        <v>145</v>
      </c>
      <c r="F69" s="67" t="s">
        <v>118</v>
      </c>
      <c r="G69" s="67">
        <v>36610.0</v>
      </c>
      <c r="H69" s="70" t="s">
        <v>281</v>
      </c>
      <c r="I69" s="70" t="s">
        <v>154</v>
      </c>
      <c r="J69" s="126"/>
      <c r="K69" s="70" t="s">
        <v>283</v>
      </c>
      <c r="L69" s="128" t="s">
        <v>699</v>
      </c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B70" s="131" t="s">
        <v>167</v>
      </c>
      <c r="C70" s="13"/>
      <c r="D70" s="132">
        <f>SUM(D57:D69)</f>
        <v>30.5</v>
      </c>
      <c r="E70" s="131" t="s">
        <v>167</v>
      </c>
      <c r="F70" s="13"/>
      <c r="G70" s="13"/>
      <c r="H70" s="13"/>
      <c r="I70" s="13"/>
      <c r="J70" s="13"/>
      <c r="K70" s="13"/>
      <c r="L70" s="18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129"/>
      <c r="B71" s="5"/>
      <c r="C71" s="5"/>
      <c r="D71" s="5"/>
      <c r="E71" s="5"/>
      <c r="F71" s="5"/>
      <c r="G71" s="5"/>
      <c r="H71" s="5"/>
      <c r="I71" s="5"/>
      <c r="J71" s="5"/>
      <c r="K71" s="92"/>
      <c r="L71" s="13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129"/>
      <c r="B72" s="5"/>
      <c r="C72" s="5"/>
      <c r="D72" s="5"/>
      <c r="E72" s="5"/>
      <c r="F72" s="5"/>
      <c r="G72" s="5"/>
      <c r="H72" s="5"/>
      <c r="I72" s="5"/>
      <c r="J72" s="5"/>
      <c r="K72" s="92"/>
      <c r="L72" s="13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38" t="str">
        <f>B73</f>
        <v>IT 105</v>
      </c>
      <c r="B73" s="42" t="s">
        <v>720</v>
      </c>
      <c r="C73" s="13"/>
      <c r="D73" s="13"/>
      <c r="E73" s="13"/>
      <c r="F73" s="13"/>
      <c r="G73" s="13"/>
      <c r="H73" s="13"/>
      <c r="I73" s="13"/>
      <c r="J73" s="13"/>
      <c r="K73" s="13"/>
      <c r="L73" s="18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B74" s="20" t="s">
        <v>1</v>
      </c>
      <c r="C74" s="20" t="s">
        <v>2</v>
      </c>
      <c r="D74" s="20" t="s">
        <v>6</v>
      </c>
      <c r="E74" s="20" t="s">
        <v>4</v>
      </c>
      <c r="F74" s="20" t="s">
        <v>5</v>
      </c>
      <c r="G74" s="20" t="s">
        <v>3</v>
      </c>
      <c r="H74" s="20" t="s">
        <v>7</v>
      </c>
      <c r="I74" s="26" t="s">
        <v>27</v>
      </c>
      <c r="J74" s="28" t="s">
        <v>10</v>
      </c>
      <c r="K74" s="31" t="s">
        <v>8</v>
      </c>
      <c r="L74" s="32" t="s">
        <v>9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B75" s="60" t="s">
        <v>45</v>
      </c>
      <c r="C75" s="60" t="s">
        <v>46</v>
      </c>
      <c r="D75" s="67">
        <v>3.0</v>
      </c>
      <c r="E75" s="67" t="s">
        <v>54</v>
      </c>
      <c r="F75" s="67" t="s">
        <v>118</v>
      </c>
      <c r="G75" s="67">
        <v>36654.0</v>
      </c>
      <c r="H75" s="70" t="s">
        <v>466</v>
      </c>
      <c r="I75" s="70" t="s">
        <v>93</v>
      </c>
      <c r="J75" s="71"/>
      <c r="K75" s="70" t="s">
        <v>726</v>
      </c>
      <c r="L75" s="241" t="s">
        <v>727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B76" s="60" t="s">
        <v>37</v>
      </c>
      <c r="C76" s="60" t="s">
        <v>113</v>
      </c>
      <c r="D76" s="67">
        <v>3.0</v>
      </c>
      <c r="E76" s="67" t="s">
        <v>81</v>
      </c>
      <c r="F76" s="67" t="s">
        <v>118</v>
      </c>
      <c r="G76" s="67">
        <v>36644.0</v>
      </c>
      <c r="H76" s="70" t="s">
        <v>466</v>
      </c>
      <c r="I76" s="70" t="s">
        <v>93</v>
      </c>
      <c r="J76" s="71"/>
      <c r="K76" s="70" t="s">
        <v>228</v>
      </c>
      <c r="L76" s="73" t="s">
        <v>731</v>
      </c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B77" s="60" t="s">
        <v>140</v>
      </c>
      <c r="C77" s="60" t="s">
        <v>141</v>
      </c>
      <c r="D77" s="67">
        <v>2.0</v>
      </c>
      <c r="E77" s="67" t="s">
        <v>71</v>
      </c>
      <c r="F77" s="67" t="s">
        <v>118</v>
      </c>
      <c r="G77" s="67">
        <v>36640.0</v>
      </c>
      <c r="H77" s="70" t="s">
        <v>151</v>
      </c>
      <c r="I77" s="70" t="s">
        <v>154</v>
      </c>
      <c r="J77" s="71"/>
      <c r="K77" s="245" t="s">
        <v>737</v>
      </c>
      <c r="L77" s="83" t="s">
        <v>741</v>
      </c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B78" s="60" t="s">
        <v>169</v>
      </c>
      <c r="C78" s="60" t="s">
        <v>170</v>
      </c>
      <c r="D78" s="67">
        <v>1.0</v>
      </c>
      <c r="E78" s="67" t="s">
        <v>54</v>
      </c>
      <c r="F78" s="67" t="s">
        <v>257</v>
      </c>
      <c r="G78" s="67">
        <v>36638.0</v>
      </c>
      <c r="H78" s="70" t="s">
        <v>175</v>
      </c>
      <c r="I78" s="70" t="s">
        <v>175</v>
      </c>
      <c r="J78" s="71"/>
      <c r="K78" s="85"/>
      <c r="L78" s="8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B79" s="60" t="s">
        <v>183</v>
      </c>
      <c r="C79" s="60" t="s">
        <v>185</v>
      </c>
      <c r="D79" s="67">
        <v>3.0</v>
      </c>
      <c r="E79" s="67" t="s">
        <v>145</v>
      </c>
      <c r="F79" s="67" t="s">
        <v>186</v>
      </c>
      <c r="G79" s="67">
        <v>36634.0</v>
      </c>
      <c r="H79" s="70" t="s">
        <v>187</v>
      </c>
      <c r="I79" s="70" t="s">
        <v>188</v>
      </c>
      <c r="J79" s="71"/>
      <c r="K79" s="70" t="s">
        <v>190</v>
      </c>
      <c r="L79" s="73" t="s">
        <v>191</v>
      </c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B80" s="60" t="s">
        <v>195</v>
      </c>
      <c r="C80" s="60" t="s">
        <v>196</v>
      </c>
      <c r="D80" s="67">
        <v>3.0</v>
      </c>
      <c r="E80" s="67" t="s">
        <v>81</v>
      </c>
      <c r="F80" s="67" t="s">
        <v>186</v>
      </c>
      <c r="G80" s="67">
        <v>36642.0</v>
      </c>
      <c r="H80" s="70" t="s">
        <v>197</v>
      </c>
      <c r="I80" s="70" t="s">
        <v>93</v>
      </c>
      <c r="J80" s="71"/>
      <c r="K80" s="70" t="s">
        <v>198</v>
      </c>
      <c r="L80" s="98" t="s">
        <v>758</v>
      </c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B81" s="60" t="s">
        <v>200</v>
      </c>
      <c r="C81" s="60" t="s">
        <v>202</v>
      </c>
      <c r="D81" s="67">
        <v>1.5</v>
      </c>
      <c r="E81" s="67" t="s">
        <v>145</v>
      </c>
      <c r="F81" s="67" t="s">
        <v>203</v>
      </c>
      <c r="G81" s="67">
        <v>36636.0</v>
      </c>
      <c r="H81" s="70" t="s">
        <v>206</v>
      </c>
      <c r="I81" s="70" t="s">
        <v>188</v>
      </c>
      <c r="J81" s="71"/>
      <c r="K81" s="16" t="s">
        <v>104</v>
      </c>
      <c r="L81" s="252" t="s">
        <v>763</v>
      </c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B82" s="60" t="s">
        <v>211</v>
      </c>
      <c r="C82" s="60" t="s">
        <v>95</v>
      </c>
      <c r="D82" s="67">
        <v>3.0</v>
      </c>
      <c r="E82" s="67" t="s">
        <v>24</v>
      </c>
      <c r="F82" s="67" t="s">
        <v>214</v>
      </c>
      <c r="G82" s="67">
        <v>36650.0</v>
      </c>
      <c r="H82" s="70" t="s">
        <v>466</v>
      </c>
      <c r="I82" s="70" t="s">
        <v>93</v>
      </c>
      <c r="J82" s="71"/>
      <c r="K82" s="70"/>
      <c r="L82" s="53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B83" s="60" t="s">
        <v>107</v>
      </c>
      <c r="C83" s="60" t="s">
        <v>223</v>
      </c>
      <c r="D83" s="67">
        <v>2.0</v>
      </c>
      <c r="E83" s="67" t="s">
        <v>24</v>
      </c>
      <c r="F83" s="67" t="s">
        <v>224</v>
      </c>
      <c r="G83" s="67">
        <v>36648.0</v>
      </c>
      <c r="H83" s="70" t="s">
        <v>225</v>
      </c>
      <c r="I83" s="70" t="s">
        <v>93</v>
      </c>
      <c r="J83" s="71"/>
      <c r="K83" s="70" t="s">
        <v>228</v>
      </c>
      <c r="L83" s="73" t="s">
        <v>773</v>
      </c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B84" s="60" t="s">
        <v>236</v>
      </c>
      <c r="C84" s="60" t="s">
        <v>238</v>
      </c>
      <c r="D84" s="67">
        <v>2.0</v>
      </c>
      <c r="E84" s="67" t="s">
        <v>71</v>
      </c>
      <c r="F84" s="67" t="s">
        <v>186</v>
      </c>
      <c r="G84" s="67">
        <v>36632.0</v>
      </c>
      <c r="H84" s="70" t="s">
        <v>187</v>
      </c>
      <c r="I84" s="70" t="s">
        <v>154</v>
      </c>
      <c r="J84" s="71"/>
      <c r="K84" s="111" t="s">
        <v>243</v>
      </c>
      <c r="L84" s="159" t="s">
        <v>775</v>
      </c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B85" s="60" t="s">
        <v>251</v>
      </c>
      <c r="C85" s="60" t="s">
        <v>252</v>
      </c>
      <c r="D85" s="67">
        <v>1.0</v>
      </c>
      <c r="E85" s="67" t="s">
        <v>83</v>
      </c>
      <c r="F85" s="67" t="s">
        <v>656</v>
      </c>
      <c r="G85" s="67">
        <v>36630.0</v>
      </c>
      <c r="H85" s="70" t="s">
        <v>175</v>
      </c>
      <c r="I85" s="70" t="s">
        <v>175</v>
      </c>
      <c r="J85" s="71"/>
      <c r="K85" s="85"/>
      <c r="L85" s="120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B86" s="60" t="s">
        <v>119</v>
      </c>
      <c r="C86" s="60" t="s">
        <v>120</v>
      </c>
      <c r="D86" s="67">
        <v>3.0</v>
      </c>
      <c r="E86" s="67" t="s">
        <v>54</v>
      </c>
      <c r="F86" s="67" t="s">
        <v>186</v>
      </c>
      <c r="G86" s="67">
        <v>36652.0</v>
      </c>
      <c r="H86" s="70" t="s">
        <v>281</v>
      </c>
      <c r="I86" s="70" t="s">
        <v>93</v>
      </c>
      <c r="J86" s="71"/>
      <c r="K86" s="70" t="s">
        <v>781</v>
      </c>
      <c r="L86" s="241" t="s">
        <v>782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B87" s="60" t="s">
        <v>143</v>
      </c>
      <c r="C87" s="60" t="s">
        <v>144</v>
      </c>
      <c r="D87" s="67">
        <v>3.0</v>
      </c>
      <c r="E87" s="67" t="s">
        <v>81</v>
      </c>
      <c r="F87" s="67" t="s">
        <v>271</v>
      </c>
      <c r="G87" s="67">
        <v>36646.0</v>
      </c>
      <c r="H87" s="70" t="s">
        <v>281</v>
      </c>
      <c r="I87" s="70" t="s">
        <v>93</v>
      </c>
      <c r="J87" s="126"/>
      <c r="K87" s="70" t="s">
        <v>283</v>
      </c>
      <c r="L87" s="128" t="s">
        <v>788</v>
      </c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B88" s="131" t="s">
        <v>167</v>
      </c>
      <c r="C88" s="13"/>
      <c r="D88" s="132">
        <f>SUM(D75:D87)</f>
        <v>30.5</v>
      </c>
      <c r="E88" s="131" t="s">
        <v>167</v>
      </c>
      <c r="F88" s="13"/>
      <c r="G88" s="13"/>
      <c r="H88" s="13"/>
      <c r="I88" s="13"/>
      <c r="J88" s="13"/>
      <c r="K88" s="13"/>
      <c r="L88" s="18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129"/>
      <c r="B89" s="5"/>
      <c r="C89" s="5"/>
      <c r="D89" s="5"/>
      <c r="E89" s="5"/>
      <c r="F89" s="5"/>
      <c r="G89" s="5"/>
      <c r="H89" s="5"/>
      <c r="I89" s="5"/>
      <c r="J89" s="5"/>
      <c r="K89" s="92"/>
      <c r="L89" s="13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129"/>
      <c r="B90" s="5"/>
      <c r="C90" s="5"/>
      <c r="D90" s="5"/>
      <c r="E90" s="5"/>
      <c r="F90" s="5"/>
      <c r="G90" s="5"/>
      <c r="H90" s="5"/>
      <c r="I90" s="5"/>
      <c r="J90" s="5"/>
      <c r="K90" s="92"/>
      <c r="L90" s="13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38" t="str">
        <f>B91</f>
        <v>IT 106</v>
      </c>
      <c r="B91" s="42" t="s">
        <v>813</v>
      </c>
      <c r="C91" s="13"/>
      <c r="D91" s="13"/>
      <c r="E91" s="13"/>
      <c r="F91" s="13"/>
      <c r="G91" s="13"/>
      <c r="H91" s="13"/>
      <c r="I91" s="13"/>
      <c r="J91" s="13"/>
      <c r="K91" s="13"/>
      <c r="L91" s="18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B92" s="20" t="s">
        <v>1</v>
      </c>
      <c r="C92" s="20" t="s">
        <v>2</v>
      </c>
      <c r="D92" s="20" t="s">
        <v>6</v>
      </c>
      <c r="E92" s="20" t="s">
        <v>4</v>
      </c>
      <c r="F92" s="20" t="s">
        <v>5</v>
      </c>
      <c r="G92" s="20" t="s">
        <v>3</v>
      </c>
      <c r="H92" s="20" t="s">
        <v>7</v>
      </c>
      <c r="I92" s="26" t="s">
        <v>27</v>
      </c>
      <c r="J92" s="28" t="s">
        <v>10</v>
      </c>
      <c r="K92" s="31" t="s">
        <v>8</v>
      </c>
      <c r="L92" s="32" t="s">
        <v>9</v>
      </c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B93" s="60" t="s">
        <v>45</v>
      </c>
      <c r="C93" s="60" t="s">
        <v>46</v>
      </c>
      <c r="D93" s="67">
        <v>3.0</v>
      </c>
      <c r="E93" s="67" t="s">
        <v>54</v>
      </c>
      <c r="F93" s="67" t="s">
        <v>186</v>
      </c>
      <c r="G93" s="67">
        <v>36679.0</v>
      </c>
      <c r="H93" s="70" t="s">
        <v>466</v>
      </c>
      <c r="I93" s="70" t="s">
        <v>93</v>
      </c>
      <c r="J93" s="71"/>
      <c r="K93" s="70" t="s">
        <v>561</v>
      </c>
      <c r="L93" s="73" t="s">
        <v>815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B94" s="60" t="s">
        <v>37</v>
      </c>
      <c r="C94" s="60" t="s">
        <v>113</v>
      </c>
      <c r="D94" s="67">
        <v>3.0</v>
      </c>
      <c r="E94" s="67" t="s">
        <v>145</v>
      </c>
      <c r="F94" s="67" t="s">
        <v>82</v>
      </c>
      <c r="G94" s="67">
        <v>36664.0</v>
      </c>
      <c r="H94" s="70" t="s">
        <v>206</v>
      </c>
      <c r="I94" s="70" t="s">
        <v>188</v>
      </c>
      <c r="J94" s="71"/>
      <c r="K94" s="70" t="s">
        <v>819</v>
      </c>
      <c r="L94" s="73" t="s">
        <v>821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B95" s="60" t="s">
        <v>140</v>
      </c>
      <c r="C95" s="60" t="s">
        <v>141</v>
      </c>
      <c r="D95" s="67">
        <v>2.0</v>
      </c>
      <c r="E95" s="67" t="s">
        <v>71</v>
      </c>
      <c r="F95" s="67" t="s">
        <v>186</v>
      </c>
      <c r="G95" s="67">
        <v>36666.0</v>
      </c>
      <c r="H95" s="70" t="s">
        <v>151</v>
      </c>
      <c r="I95" s="70" t="s">
        <v>154</v>
      </c>
      <c r="J95" s="71"/>
      <c r="K95" s="245" t="s">
        <v>737</v>
      </c>
      <c r="L95" s="83" t="s">
        <v>829</v>
      </c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B96" s="60" t="s">
        <v>169</v>
      </c>
      <c r="C96" s="60" t="s">
        <v>170</v>
      </c>
      <c r="D96" s="67">
        <v>1.0</v>
      </c>
      <c r="E96" s="67" t="s">
        <v>54</v>
      </c>
      <c r="F96" s="67" t="s">
        <v>534</v>
      </c>
      <c r="G96" s="67">
        <v>36668.0</v>
      </c>
      <c r="H96" s="70" t="s">
        <v>175</v>
      </c>
      <c r="I96" s="70" t="s">
        <v>175</v>
      </c>
      <c r="J96" s="71"/>
      <c r="K96" s="85"/>
      <c r="L96" s="8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B97" s="60" t="s">
        <v>183</v>
      </c>
      <c r="C97" s="60" t="s">
        <v>185</v>
      </c>
      <c r="D97" s="67">
        <v>3.0</v>
      </c>
      <c r="E97" s="67" t="s">
        <v>145</v>
      </c>
      <c r="F97" s="67" t="s">
        <v>118</v>
      </c>
      <c r="G97" s="67">
        <v>36660.0</v>
      </c>
      <c r="H97" s="70" t="s">
        <v>187</v>
      </c>
      <c r="I97" s="70" t="s">
        <v>188</v>
      </c>
      <c r="J97" s="71"/>
      <c r="K97" s="70" t="s">
        <v>190</v>
      </c>
      <c r="L97" s="73" t="s">
        <v>191</v>
      </c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B98" s="60" t="s">
        <v>195</v>
      </c>
      <c r="C98" s="60" t="s">
        <v>196</v>
      </c>
      <c r="D98" s="67">
        <v>3.0</v>
      </c>
      <c r="E98" s="67" t="s">
        <v>24</v>
      </c>
      <c r="F98" s="67" t="s">
        <v>186</v>
      </c>
      <c r="G98" s="67">
        <v>36673.0</v>
      </c>
      <c r="H98" s="70" t="s">
        <v>197</v>
      </c>
      <c r="I98" s="70" t="s">
        <v>93</v>
      </c>
      <c r="J98" s="71"/>
      <c r="K98" s="70" t="s">
        <v>198</v>
      </c>
      <c r="L98" s="98" t="s">
        <v>858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B99" s="60" t="s">
        <v>200</v>
      </c>
      <c r="C99" s="60" t="s">
        <v>202</v>
      </c>
      <c r="D99" s="67">
        <v>1.5</v>
      </c>
      <c r="E99" s="67" t="s">
        <v>145</v>
      </c>
      <c r="F99" s="67" t="s">
        <v>863</v>
      </c>
      <c r="G99" s="67">
        <v>36662.0</v>
      </c>
      <c r="H99" s="70" t="s">
        <v>206</v>
      </c>
      <c r="I99" s="70" t="s">
        <v>188</v>
      </c>
      <c r="J99" s="71"/>
      <c r="K99" s="16" t="s">
        <v>70</v>
      </c>
      <c r="L99" s="73" t="s">
        <v>865</v>
      </c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B100" s="60" t="s">
        <v>211</v>
      </c>
      <c r="C100" s="60" t="s">
        <v>95</v>
      </c>
      <c r="D100" s="67">
        <v>3.0</v>
      </c>
      <c r="E100" s="67" t="s">
        <v>54</v>
      </c>
      <c r="F100" s="67" t="s">
        <v>271</v>
      </c>
      <c r="G100" s="67">
        <v>36683.0</v>
      </c>
      <c r="H100" s="70" t="s">
        <v>74</v>
      </c>
      <c r="I100" s="70" t="s">
        <v>93</v>
      </c>
      <c r="J100" s="71"/>
      <c r="K100" s="16" t="s">
        <v>110</v>
      </c>
      <c r="L100" s="73" t="s">
        <v>873</v>
      </c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B101" s="60" t="s">
        <v>107</v>
      </c>
      <c r="C101" s="60" t="s">
        <v>223</v>
      </c>
      <c r="D101" s="67">
        <v>2.0</v>
      </c>
      <c r="E101" s="67" t="s">
        <v>24</v>
      </c>
      <c r="F101" s="67" t="s">
        <v>877</v>
      </c>
      <c r="G101" s="67">
        <v>36675.0</v>
      </c>
      <c r="H101" s="70" t="s">
        <v>225</v>
      </c>
      <c r="I101" s="70" t="s">
        <v>93</v>
      </c>
      <c r="J101" s="71"/>
      <c r="K101" s="70" t="s">
        <v>228</v>
      </c>
      <c r="L101" s="73" t="s">
        <v>879</v>
      </c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B102" s="60" t="s">
        <v>236</v>
      </c>
      <c r="C102" s="60" t="s">
        <v>238</v>
      </c>
      <c r="D102" s="67">
        <v>2.0</v>
      </c>
      <c r="E102" s="67" t="s">
        <v>71</v>
      </c>
      <c r="F102" s="67" t="s">
        <v>118</v>
      </c>
      <c r="G102" s="67">
        <v>36658.0</v>
      </c>
      <c r="H102" s="70" t="s">
        <v>187</v>
      </c>
      <c r="I102" s="70" t="s">
        <v>154</v>
      </c>
      <c r="J102" s="71"/>
      <c r="K102" s="111" t="s">
        <v>243</v>
      </c>
      <c r="L102" s="159" t="s">
        <v>887</v>
      </c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B103" s="60" t="s">
        <v>251</v>
      </c>
      <c r="C103" s="60" t="s">
        <v>252</v>
      </c>
      <c r="D103" s="67">
        <v>1.0</v>
      </c>
      <c r="E103" s="67" t="s">
        <v>83</v>
      </c>
      <c r="F103" s="67" t="s">
        <v>534</v>
      </c>
      <c r="G103" s="67">
        <v>36656.0</v>
      </c>
      <c r="H103" s="70" t="s">
        <v>175</v>
      </c>
      <c r="I103" s="70" t="s">
        <v>175</v>
      </c>
      <c r="J103" s="71"/>
      <c r="K103" s="85"/>
      <c r="L103" s="120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B104" s="60" t="s">
        <v>119</v>
      </c>
      <c r="C104" s="60" t="s">
        <v>120</v>
      </c>
      <c r="D104" s="67">
        <v>3.0</v>
      </c>
      <c r="E104" s="67" t="s">
        <v>54</v>
      </c>
      <c r="F104" s="67" t="s">
        <v>118</v>
      </c>
      <c r="G104" s="67">
        <v>36681.0</v>
      </c>
      <c r="H104" s="70" t="s">
        <v>281</v>
      </c>
      <c r="I104" s="70" t="s">
        <v>93</v>
      </c>
      <c r="J104" s="71"/>
      <c r="K104" s="70" t="s">
        <v>781</v>
      </c>
      <c r="L104" s="241" t="s">
        <v>901</v>
      </c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B105" s="60" t="s">
        <v>143</v>
      </c>
      <c r="C105" s="60" t="s">
        <v>144</v>
      </c>
      <c r="D105" s="67">
        <v>3.0</v>
      </c>
      <c r="E105" s="67" t="s">
        <v>24</v>
      </c>
      <c r="F105" s="67" t="s">
        <v>271</v>
      </c>
      <c r="G105" s="67">
        <v>36677.0</v>
      </c>
      <c r="H105" s="70" t="s">
        <v>466</v>
      </c>
      <c r="I105" s="70" t="s">
        <v>93</v>
      </c>
      <c r="J105" s="126"/>
      <c r="K105" s="70" t="s">
        <v>283</v>
      </c>
      <c r="L105" s="128" t="s">
        <v>913</v>
      </c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B106" s="131" t="s">
        <v>167</v>
      </c>
      <c r="C106" s="13"/>
      <c r="D106" s="132">
        <f>SUM(D93:D105)</f>
        <v>30.5</v>
      </c>
      <c r="E106" s="131" t="s">
        <v>167</v>
      </c>
      <c r="F106" s="13"/>
      <c r="G106" s="13"/>
      <c r="H106" s="13"/>
      <c r="I106" s="13"/>
      <c r="J106" s="13"/>
      <c r="K106" s="13"/>
      <c r="L106" s="18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129"/>
      <c r="B107" s="5"/>
      <c r="C107" s="5"/>
      <c r="D107" s="5"/>
      <c r="E107" s="5"/>
      <c r="F107" s="5"/>
      <c r="G107" s="5"/>
      <c r="H107" s="5"/>
      <c r="I107" s="5"/>
      <c r="J107" s="5"/>
      <c r="K107" s="92"/>
      <c r="L107" s="13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129"/>
      <c r="B108" s="5"/>
      <c r="C108" s="5"/>
      <c r="D108" s="5"/>
      <c r="E108" s="5"/>
      <c r="F108" s="5"/>
      <c r="G108" s="5"/>
      <c r="H108" s="5"/>
      <c r="I108" s="5"/>
      <c r="J108" s="5"/>
      <c r="K108" s="92"/>
      <c r="L108" s="13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38" t="str">
        <f>B109</f>
        <v>IT 107</v>
      </c>
      <c r="B109" s="42" t="s">
        <v>934</v>
      </c>
      <c r="C109" s="13"/>
      <c r="D109" s="13"/>
      <c r="E109" s="13"/>
      <c r="F109" s="13"/>
      <c r="G109" s="13"/>
      <c r="H109" s="13"/>
      <c r="I109" s="13"/>
      <c r="J109" s="13"/>
      <c r="K109" s="13"/>
      <c r="L109" s="18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B110" s="20" t="s">
        <v>1</v>
      </c>
      <c r="C110" s="20" t="s">
        <v>2</v>
      </c>
      <c r="D110" s="20" t="s">
        <v>6</v>
      </c>
      <c r="E110" s="20" t="s">
        <v>4</v>
      </c>
      <c r="F110" s="20" t="s">
        <v>5</v>
      </c>
      <c r="G110" s="20" t="s">
        <v>3</v>
      </c>
      <c r="H110" s="20" t="s">
        <v>7</v>
      </c>
      <c r="I110" s="26" t="s">
        <v>27</v>
      </c>
      <c r="J110" s="28" t="s">
        <v>10</v>
      </c>
      <c r="K110" s="31" t="s">
        <v>8</v>
      </c>
      <c r="L110" s="32" t="s">
        <v>9</v>
      </c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B111" s="60" t="s">
        <v>45</v>
      </c>
      <c r="C111" s="60" t="s">
        <v>46</v>
      </c>
      <c r="D111" s="67">
        <v>3.0</v>
      </c>
      <c r="E111" s="67" t="s">
        <v>54</v>
      </c>
      <c r="F111" s="67" t="s">
        <v>82</v>
      </c>
      <c r="G111" s="67">
        <v>36709.0</v>
      </c>
      <c r="H111" s="70" t="s">
        <v>466</v>
      </c>
      <c r="I111" s="70" t="s">
        <v>93</v>
      </c>
      <c r="J111" s="71"/>
      <c r="K111" s="70" t="s">
        <v>726</v>
      </c>
      <c r="L111" s="241" t="s">
        <v>941</v>
      </c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B112" s="60" t="s">
        <v>37</v>
      </c>
      <c r="C112" s="60" t="s">
        <v>113</v>
      </c>
      <c r="D112" s="67">
        <v>3.0</v>
      </c>
      <c r="E112" s="67" t="s">
        <v>145</v>
      </c>
      <c r="F112" s="67" t="s">
        <v>82</v>
      </c>
      <c r="G112" s="67">
        <v>36091.0</v>
      </c>
      <c r="H112" s="70" t="s">
        <v>215</v>
      </c>
      <c r="I112" s="70" t="s">
        <v>188</v>
      </c>
      <c r="J112" s="71"/>
      <c r="K112" s="70" t="s">
        <v>330</v>
      </c>
      <c r="L112" s="73" t="s">
        <v>947</v>
      </c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B113" s="60" t="s">
        <v>140</v>
      </c>
      <c r="C113" s="60" t="s">
        <v>141</v>
      </c>
      <c r="D113" s="67">
        <v>2.0</v>
      </c>
      <c r="E113" s="67" t="s">
        <v>71</v>
      </c>
      <c r="F113" s="67" t="s">
        <v>82</v>
      </c>
      <c r="G113" s="67">
        <v>36697.0</v>
      </c>
      <c r="H113" s="70" t="s">
        <v>151</v>
      </c>
      <c r="I113" s="70" t="s">
        <v>154</v>
      </c>
      <c r="J113" s="71"/>
      <c r="K113" s="245" t="s">
        <v>737</v>
      </c>
      <c r="L113" s="83" t="s">
        <v>954</v>
      </c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B114" s="60" t="s">
        <v>169</v>
      </c>
      <c r="C114" s="60" t="s">
        <v>170</v>
      </c>
      <c r="D114" s="67">
        <v>1.0</v>
      </c>
      <c r="E114" s="67" t="s">
        <v>54</v>
      </c>
      <c r="F114" s="67" t="s">
        <v>545</v>
      </c>
      <c r="G114" s="67">
        <v>36699.0</v>
      </c>
      <c r="H114" s="70" t="s">
        <v>175</v>
      </c>
      <c r="I114" s="70" t="s">
        <v>175</v>
      </c>
      <c r="J114" s="71"/>
      <c r="K114" s="85"/>
      <c r="L114" s="8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B115" s="60" t="s">
        <v>183</v>
      </c>
      <c r="C115" s="60" t="s">
        <v>185</v>
      </c>
      <c r="D115" s="67">
        <v>3.0</v>
      </c>
      <c r="E115" s="67" t="s">
        <v>145</v>
      </c>
      <c r="F115" s="67" t="s">
        <v>271</v>
      </c>
      <c r="G115" s="67">
        <v>36689.0</v>
      </c>
      <c r="H115" s="70" t="s">
        <v>187</v>
      </c>
      <c r="I115" s="70" t="s">
        <v>188</v>
      </c>
      <c r="J115" s="71"/>
      <c r="K115" s="70" t="s">
        <v>190</v>
      </c>
      <c r="L115" s="73" t="s">
        <v>191</v>
      </c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B116" s="60" t="s">
        <v>195</v>
      </c>
      <c r="C116" s="60" t="s">
        <v>196</v>
      </c>
      <c r="D116" s="67">
        <v>3.0</v>
      </c>
      <c r="E116" s="67" t="s">
        <v>81</v>
      </c>
      <c r="F116" s="67" t="s">
        <v>118</v>
      </c>
      <c r="G116" s="67">
        <v>36703.0</v>
      </c>
      <c r="H116" s="70" t="s">
        <v>151</v>
      </c>
      <c r="I116" s="70" t="s">
        <v>93</v>
      </c>
      <c r="J116" s="71"/>
      <c r="K116" s="70" t="s">
        <v>972</v>
      </c>
      <c r="L116" s="73" t="s">
        <v>974</v>
      </c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B117" s="60" t="s">
        <v>200</v>
      </c>
      <c r="C117" s="60" t="s">
        <v>202</v>
      </c>
      <c r="D117" s="67">
        <v>1.5</v>
      </c>
      <c r="E117" s="67" t="s">
        <v>145</v>
      </c>
      <c r="F117" s="67" t="s">
        <v>365</v>
      </c>
      <c r="G117" s="67">
        <v>36685.0</v>
      </c>
      <c r="H117" s="70" t="s">
        <v>206</v>
      </c>
      <c r="I117" s="70" t="s">
        <v>188</v>
      </c>
      <c r="J117" s="71"/>
      <c r="K117" s="16" t="s">
        <v>70</v>
      </c>
      <c r="L117" s="73" t="s">
        <v>975</v>
      </c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B118" s="60" t="s">
        <v>211</v>
      </c>
      <c r="C118" s="60" t="s">
        <v>95</v>
      </c>
      <c r="D118" s="67">
        <v>3.0</v>
      </c>
      <c r="E118" s="67" t="s">
        <v>81</v>
      </c>
      <c r="F118" s="67" t="s">
        <v>271</v>
      </c>
      <c r="G118" s="67">
        <v>36705.0</v>
      </c>
      <c r="H118" s="70" t="s">
        <v>466</v>
      </c>
      <c r="I118" s="70" t="s">
        <v>93</v>
      </c>
      <c r="J118" s="71"/>
      <c r="K118" s="70"/>
      <c r="L118" s="98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B119" s="60" t="s">
        <v>107</v>
      </c>
      <c r="C119" s="60" t="s">
        <v>223</v>
      </c>
      <c r="D119" s="67">
        <v>2.0</v>
      </c>
      <c r="E119" s="67" t="s">
        <v>145</v>
      </c>
      <c r="F119" s="67" t="s">
        <v>405</v>
      </c>
      <c r="G119" s="67">
        <v>36687.0</v>
      </c>
      <c r="H119" s="70" t="s">
        <v>225</v>
      </c>
      <c r="I119" s="70" t="s">
        <v>188</v>
      </c>
      <c r="J119" s="71"/>
      <c r="K119" s="70" t="s">
        <v>228</v>
      </c>
      <c r="L119" s="73" t="s">
        <v>984</v>
      </c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B120" s="60" t="s">
        <v>236</v>
      </c>
      <c r="C120" s="60" t="s">
        <v>238</v>
      </c>
      <c r="D120" s="67">
        <v>2.0</v>
      </c>
      <c r="E120" s="67" t="s">
        <v>71</v>
      </c>
      <c r="F120" s="67" t="s">
        <v>271</v>
      </c>
      <c r="G120" s="67">
        <v>36693.0</v>
      </c>
      <c r="H120" s="70" t="s">
        <v>187</v>
      </c>
      <c r="I120" s="70" t="s">
        <v>154</v>
      </c>
      <c r="J120" s="71"/>
      <c r="K120" s="111" t="s">
        <v>243</v>
      </c>
      <c r="L120" s="159" t="s">
        <v>988</v>
      </c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B121" s="60" t="s">
        <v>251</v>
      </c>
      <c r="C121" s="60" t="s">
        <v>252</v>
      </c>
      <c r="D121" s="67">
        <v>1.0</v>
      </c>
      <c r="E121" s="67" t="s">
        <v>54</v>
      </c>
      <c r="F121" s="67" t="s">
        <v>656</v>
      </c>
      <c r="G121" s="67">
        <v>36695.0</v>
      </c>
      <c r="H121" s="70" t="s">
        <v>175</v>
      </c>
      <c r="I121" s="70" t="s">
        <v>175</v>
      </c>
      <c r="J121" s="71"/>
      <c r="K121" s="85"/>
      <c r="L121" s="120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B122" s="60" t="s">
        <v>119</v>
      </c>
      <c r="C122" s="60" t="s">
        <v>120</v>
      </c>
      <c r="D122" s="67">
        <v>3.0</v>
      </c>
      <c r="E122" s="67" t="s">
        <v>54</v>
      </c>
      <c r="F122" s="67" t="s">
        <v>271</v>
      </c>
      <c r="G122" s="67">
        <v>36707.0</v>
      </c>
      <c r="H122" s="70" t="s">
        <v>281</v>
      </c>
      <c r="I122" s="70" t="s">
        <v>93</v>
      </c>
      <c r="J122" s="71"/>
      <c r="K122" s="70" t="s">
        <v>781</v>
      </c>
      <c r="L122" s="241" t="s">
        <v>993</v>
      </c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B123" s="60" t="s">
        <v>143</v>
      </c>
      <c r="C123" s="60" t="s">
        <v>144</v>
      </c>
      <c r="D123" s="67">
        <v>3.0</v>
      </c>
      <c r="E123" s="67" t="s">
        <v>81</v>
      </c>
      <c r="F123" s="67" t="s">
        <v>186</v>
      </c>
      <c r="G123" s="67">
        <v>36701.0</v>
      </c>
      <c r="H123" s="70" t="s">
        <v>466</v>
      </c>
      <c r="I123" s="70" t="s">
        <v>93</v>
      </c>
      <c r="J123" s="126"/>
      <c r="K123" s="70" t="s">
        <v>283</v>
      </c>
      <c r="L123" s="128" t="s">
        <v>999</v>
      </c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B124" s="131" t="s">
        <v>167</v>
      </c>
      <c r="C124" s="13"/>
      <c r="D124" s="132">
        <f>SUM(D111:D123)</f>
        <v>30.5</v>
      </c>
      <c r="E124" s="131" t="s">
        <v>167</v>
      </c>
      <c r="F124" s="13"/>
      <c r="G124" s="13"/>
      <c r="H124" s="13"/>
      <c r="I124" s="13"/>
      <c r="J124" s="13"/>
      <c r="K124" s="13"/>
      <c r="L124" s="18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129"/>
      <c r="B125" s="5"/>
      <c r="C125" s="5"/>
      <c r="D125" s="5"/>
      <c r="E125" s="5"/>
      <c r="F125" s="5"/>
      <c r="G125" s="5"/>
      <c r="H125" s="5"/>
      <c r="I125" s="5"/>
      <c r="J125" s="5"/>
      <c r="K125" s="92"/>
      <c r="L125" s="13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129"/>
      <c r="B126" s="5"/>
      <c r="C126" s="5"/>
      <c r="D126" s="5"/>
      <c r="E126" s="5"/>
      <c r="F126" s="5"/>
      <c r="G126" s="5"/>
      <c r="H126" s="5"/>
      <c r="I126" s="5"/>
      <c r="J126" s="5"/>
      <c r="K126" s="92"/>
      <c r="L126" s="13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38" t="str">
        <f>B127</f>
        <v>IT 108</v>
      </c>
      <c r="B127" s="42" t="s">
        <v>1008</v>
      </c>
      <c r="C127" s="13"/>
      <c r="D127" s="13"/>
      <c r="E127" s="13"/>
      <c r="F127" s="13"/>
      <c r="G127" s="13"/>
      <c r="H127" s="13"/>
      <c r="I127" s="13"/>
      <c r="J127" s="13"/>
      <c r="K127" s="13"/>
      <c r="L127" s="18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B128" s="20" t="s">
        <v>1</v>
      </c>
      <c r="C128" s="20" t="s">
        <v>2</v>
      </c>
      <c r="D128" s="20" t="s">
        <v>6</v>
      </c>
      <c r="E128" s="20" t="s">
        <v>4</v>
      </c>
      <c r="F128" s="20" t="s">
        <v>5</v>
      </c>
      <c r="G128" s="20" t="s">
        <v>3</v>
      </c>
      <c r="H128" s="20" t="s">
        <v>7</v>
      </c>
      <c r="I128" s="26" t="s">
        <v>27</v>
      </c>
      <c r="J128" s="28" t="s">
        <v>10</v>
      </c>
      <c r="K128" s="31" t="s">
        <v>8</v>
      </c>
      <c r="L128" s="32" t="s">
        <v>9</v>
      </c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B129" s="60" t="s">
        <v>45</v>
      </c>
      <c r="C129" s="60" t="s">
        <v>46</v>
      </c>
      <c r="D129" s="67">
        <v>3.0</v>
      </c>
      <c r="E129" s="67" t="s">
        <v>54</v>
      </c>
      <c r="F129" s="67" t="s">
        <v>271</v>
      </c>
      <c r="G129" s="67">
        <v>36733.0</v>
      </c>
      <c r="H129" s="70" t="s">
        <v>466</v>
      </c>
      <c r="I129" s="70" t="s">
        <v>93</v>
      </c>
      <c r="J129" s="71"/>
      <c r="K129" s="70" t="s">
        <v>726</v>
      </c>
      <c r="L129" s="241" t="s">
        <v>1014</v>
      </c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B130" s="60" t="s">
        <v>37</v>
      </c>
      <c r="C130" s="60" t="s">
        <v>113</v>
      </c>
      <c r="D130" s="67">
        <v>3.0</v>
      </c>
      <c r="E130" s="67" t="s">
        <v>145</v>
      </c>
      <c r="F130" s="67" t="s">
        <v>271</v>
      </c>
      <c r="G130" s="67">
        <v>36715.0</v>
      </c>
      <c r="H130" s="70" t="s">
        <v>215</v>
      </c>
      <c r="I130" s="70" t="s">
        <v>188</v>
      </c>
      <c r="J130" s="71"/>
      <c r="K130" s="70" t="s">
        <v>330</v>
      </c>
      <c r="L130" s="73" t="s">
        <v>1017</v>
      </c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B131" s="60" t="s">
        <v>140</v>
      </c>
      <c r="C131" s="60" t="s">
        <v>141</v>
      </c>
      <c r="D131" s="67">
        <v>2.0</v>
      </c>
      <c r="E131" s="67" t="s">
        <v>71</v>
      </c>
      <c r="F131" s="67" t="s">
        <v>271</v>
      </c>
      <c r="G131" s="67">
        <v>36719.0</v>
      </c>
      <c r="H131" s="70" t="s">
        <v>151</v>
      </c>
      <c r="I131" s="70" t="s">
        <v>154</v>
      </c>
      <c r="J131" s="71"/>
      <c r="K131" s="245" t="s">
        <v>737</v>
      </c>
      <c r="L131" s="83" t="s">
        <v>1019</v>
      </c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B132" s="60" t="s">
        <v>169</v>
      </c>
      <c r="C132" s="60" t="s">
        <v>170</v>
      </c>
      <c r="D132" s="67">
        <v>1.0</v>
      </c>
      <c r="E132" s="67" t="s">
        <v>54</v>
      </c>
      <c r="F132" s="67" t="s">
        <v>656</v>
      </c>
      <c r="G132" s="67">
        <v>36721.0</v>
      </c>
      <c r="H132" s="70" t="s">
        <v>175</v>
      </c>
      <c r="I132" s="70" t="s">
        <v>175</v>
      </c>
      <c r="J132" s="71"/>
      <c r="K132" s="85"/>
      <c r="L132" s="8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B133" s="60" t="s">
        <v>183</v>
      </c>
      <c r="C133" s="60" t="s">
        <v>185</v>
      </c>
      <c r="D133" s="67">
        <v>3.0</v>
      </c>
      <c r="E133" s="67" t="s">
        <v>145</v>
      </c>
      <c r="F133" s="67" t="s">
        <v>82</v>
      </c>
      <c r="G133" s="67">
        <v>36717.0</v>
      </c>
      <c r="H133" s="70" t="s">
        <v>187</v>
      </c>
      <c r="I133" s="70" t="s">
        <v>188</v>
      </c>
      <c r="J133" s="71"/>
      <c r="K133" s="70" t="s">
        <v>190</v>
      </c>
      <c r="L133" s="73" t="s">
        <v>191</v>
      </c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B134" s="60" t="s">
        <v>195</v>
      </c>
      <c r="C134" s="60" t="s">
        <v>196</v>
      </c>
      <c r="D134" s="67">
        <v>3.0</v>
      </c>
      <c r="E134" s="67" t="s">
        <v>24</v>
      </c>
      <c r="F134" s="67" t="s">
        <v>118</v>
      </c>
      <c r="G134" s="67">
        <v>36729.0</v>
      </c>
      <c r="H134" s="70" t="s">
        <v>197</v>
      </c>
      <c r="I134" s="70" t="s">
        <v>93</v>
      </c>
      <c r="J134" s="71"/>
      <c r="K134" s="70" t="s">
        <v>972</v>
      </c>
      <c r="L134" s="73" t="s">
        <v>1041</v>
      </c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B135" s="60" t="s">
        <v>200</v>
      </c>
      <c r="C135" s="60" t="s">
        <v>202</v>
      </c>
      <c r="D135" s="67">
        <v>1.5</v>
      </c>
      <c r="E135" s="67" t="s">
        <v>145</v>
      </c>
      <c r="F135" s="67" t="s">
        <v>645</v>
      </c>
      <c r="G135" s="67">
        <v>36713.0</v>
      </c>
      <c r="H135" s="70" t="s">
        <v>206</v>
      </c>
      <c r="I135" s="70" t="s">
        <v>188</v>
      </c>
      <c r="J135" s="71"/>
      <c r="K135" s="16" t="s">
        <v>553</v>
      </c>
      <c r="L135" s="73" t="s">
        <v>1046</v>
      </c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B136" s="60" t="s">
        <v>211</v>
      </c>
      <c r="C136" s="60" t="s">
        <v>95</v>
      </c>
      <c r="D136" s="67">
        <v>3.0</v>
      </c>
      <c r="E136" s="67" t="s">
        <v>24</v>
      </c>
      <c r="F136" s="67" t="s">
        <v>271</v>
      </c>
      <c r="G136" s="67">
        <v>36731.0</v>
      </c>
      <c r="H136" s="70" t="s">
        <v>74</v>
      </c>
      <c r="I136" s="70" t="s">
        <v>93</v>
      </c>
      <c r="J136" s="71"/>
      <c r="K136" s="70"/>
      <c r="L136" s="98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B137" s="60" t="s">
        <v>107</v>
      </c>
      <c r="C137" s="60" t="s">
        <v>223</v>
      </c>
      <c r="D137" s="67">
        <v>2.0</v>
      </c>
      <c r="E137" s="67" t="s">
        <v>145</v>
      </c>
      <c r="F137" s="67" t="s">
        <v>656</v>
      </c>
      <c r="G137" s="67">
        <v>36711.0</v>
      </c>
      <c r="H137" s="70" t="s">
        <v>225</v>
      </c>
      <c r="I137" s="70" t="s">
        <v>188</v>
      </c>
      <c r="J137" s="71"/>
      <c r="K137" s="70" t="s">
        <v>228</v>
      </c>
      <c r="L137" s="73" t="s">
        <v>1049</v>
      </c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B138" s="60" t="s">
        <v>236</v>
      </c>
      <c r="C138" s="60" t="s">
        <v>238</v>
      </c>
      <c r="D138" s="67">
        <v>2.0</v>
      </c>
      <c r="E138" s="67" t="s">
        <v>71</v>
      </c>
      <c r="F138" s="67" t="s">
        <v>82</v>
      </c>
      <c r="G138" s="67">
        <v>36723.0</v>
      </c>
      <c r="H138" s="70" t="s">
        <v>187</v>
      </c>
      <c r="I138" s="70" t="s">
        <v>154</v>
      </c>
      <c r="J138" s="71"/>
      <c r="K138" s="111" t="s">
        <v>243</v>
      </c>
      <c r="L138" s="159" t="s">
        <v>1051</v>
      </c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B139" s="60" t="s">
        <v>251</v>
      </c>
      <c r="C139" s="60" t="s">
        <v>252</v>
      </c>
      <c r="D139" s="67">
        <v>1.0</v>
      </c>
      <c r="E139" s="67" t="s">
        <v>54</v>
      </c>
      <c r="F139" s="67" t="s">
        <v>405</v>
      </c>
      <c r="G139" s="67">
        <v>36725.0</v>
      </c>
      <c r="H139" s="70" t="s">
        <v>175</v>
      </c>
      <c r="I139" s="70" t="s">
        <v>175</v>
      </c>
      <c r="J139" s="71"/>
      <c r="K139" s="85"/>
      <c r="L139" s="120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B140" s="60" t="s">
        <v>119</v>
      </c>
      <c r="C140" s="60" t="s">
        <v>120</v>
      </c>
      <c r="D140" s="67">
        <v>3.0</v>
      </c>
      <c r="E140" s="67" t="s">
        <v>54</v>
      </c>
      <c r="F140" s="67" t="s">
        <v>82</v>
      </c>
      <c r="G140" s="67">
        <v>36735.0</v>
      </c>
      <c r="H140" s="70" t="s">
        <v>281</v>
      </c>
      <c r="I140" s="70" t="s">
        <v>93</v>
      </c>
      <c r="J140" s="71"/>
      <c r="K140" s="70" t="s">
        <v>781</v>
      </c>
      <c r="L140" s="241" t="s">
        <v>1062</v>
      </c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B141" s="60" t="s">
        <v>143</v>
      </c>
      <c r="C141" s="60" t="s">
        <v>144</v>
      </c>
      <c r="D141" s="67">
        <v>3.0</v>
      </c>
      <c r="E141" s="67" t="s">
        <v>24</v>
      </c>
      <c r="F141" s="67" t="s">
        <v>186</v>
      </c>
      <c r="G141" s="67">
        <v>36727.0</v>
      </c>
      <c r="H141" s="70" t="s">
        <v>281</v>
      </c>
      <c r="I141" s="70" t="s">
        <v>93</v>
      </c>
      <c r="J141" s="240"/>
      <c r="K141" s="70" t="s">
        <v>283</v>
      </c>
      <c r="L141" s="314" t="s">
        <v>1071</v>
      </c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B142" s="131" t="s">
        <v>167</v>
      </c>
      <c r="C142" s="13"/>
      <c r="D142" s="132">
        <f>SUM(D129:D141)</f>
        <v>30.5</v>
      </c>
      <c r="E142" s="131" t="s">
        <v>167</v>
      </c>
      <c r="F142" s="13"/>
      <c r="G142" s="13"/>
      <c r="H142" s="13"/>
      <c r="I142" s="13"/>
      <c r="J142" s="13"/>
      <c r="K142" s="13"/>
      <c r="L142" s="18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129"/>
      <c r="B143" s="5"/>
      <c r="C143" s="5"/>
      <c r="D143" s="5"/>
      <c r="E143" s="5"/>
      <c r="F143" s="5"/>
      <c r="G143" s="5"/>
      <c r="H143" s="5"/>
      <c r="I143" s="5"/>
      <c r="J143" s="5"/>
      <c r="K143" s="92"/>
      <c r="L143" s="13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129"/>
      <c r="B144" s="5"/>
      <c r="C144" s="5"/>
      <c r="D144" s="5"/>
      <c r="E144" s="5"/>
      <c r="F144" s="5"/>
      <c r="G144" s="5"/>
      <c r="H144" s="5"/>
      <c r="I144" s="5"/>
      <c r="J144" s="5"/>
      <c r="K144" s="92"/>
      <c r="L144" s="13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38" t="str">
        <f>B145</f>
        <v>IT 201</v>
      </c>
      <c r="B145" s="42" t="s">
        <v>1084</v>
      </c>
      <c r="C145" s="13"/>
      <c r="D145" s="13"/>
      <c r="E145" s="13"/>
      <c r="F145" s="13"/>
      <c r="G145" s="13"/>
      <c r="H145" s="13"/>
      <c r="I145" s="13"/>
      <c r="J145" s="13"/>
      <c r="K145" s="13"/>
      <c r="L145" s="18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B146" s="20" t="s">
        <v>1</v>
      </c>
      <c r="C146" s="20" t="s">
        <v>2</v>
      </c>
      <c r="D146" s="20" t="s">
        <v>6</v>
      </c>
      <c r="E146" s="20" t="s">
        <v>4</v>
      </c>
      <c r="F146" s="20" t="s">
        <v>5</v>
      </c>
      <c r="G146" s="20" t="s">
        <v>3</v>
      </c>
      <c r="H146" s="20" t="s">
        <v>7</v>
      </c>
      <c r="I146" s="26" t="s">
        <v>27</v>
      </c>
      <c r="J146" s="28" t="s">
        <v>10</v>
      </c>
      <c r="K146" s="31" t="s">
        <v>8</v>
      </c>
      <c r="L146" s="32" t="s">
        <v>9</v>
      </c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B147" s="60" t="s">
        <v>1089</v>
      </c>
      <c r="C147" s="60" t="s">
        <v>1090</v>
      </c>
      <c r="D147" s="67">
        <v>1.0</v>
      </c>
      <c r="E147" s="67" t="s">
        <v>54</v>
      </c>
      <c r="F147" s="67" t="s">
        <v>271</v>
      </c>
      <c r="G147" s="67">
        <v>36763.0</v>
      </c>
      <c r="H147" s="70" t="s">
        <v>187</v>
      </c>
      <c r="I147" s="70" t="s">
        <v>188</v>
      </c>
      <c r="J147" s="71"/>
      <c r="K147" s="245" t="s">
        <v>1091</v>
      </c>
      <c r="L147" s="323" t="s">
        <v>1093</v>
      </c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B148" s="60" t="s">
        <v>1096</v>
      </c>
      <c r="C148" s="60" t="s">
        <v>1097</v>
      </c>
      <c r="D148" s="67">
        <v>2.0</v>
      </c>
      <c r="E148" s="67" t="s">
        <v>81</v>
      </c>
      <c r="F148" s="67" t="s">
        <v>500</v>
      </c>
      <c r="G148" s="67">
        <v>36761.0</v>
      </c>
      <c r="H148" s="70" t="s">
        <v>175</v>
      </c>
      <c r="I148" s="70" t="s">
        <v>175</v>
      </c>
      <c r="J148" s="71"/>
      <c r="K148" s="85"/>
      <c r="L148" s="8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B149" s="60" t="s">
        <v>1103</v>
      </c>
      <c r="C149" s="60" t="s">
        <v>1104</v>
      </c>
      <c r="D149" s="67">
        <v>1.0</v>
      </c>
      <c r="E149" s="67" t="s">
        <v>54</v>
      </c>
      <c r="F149" s="67" t="s">
        <v>118</v>
      </c>
      <c r="G149" s="67">
        <v>36743.0</v>
      </c>
      <c r="H149" s="70" t="s">
        <v>151</v>
      </c>
      <c r="I149" s="70" t="s">
        <v>188</v>
      </c>
      <c r="J149" s="71"/>
      <c r="K149" s="245" t="s">
        <v>1106</v>
      </c>
      <c r="L149" s="83" t="s">
        <v>1107</v>
      </c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B150" s="60" t="s">
        <v>1109</v>
      </c>
      <c r="C150" s="60" t="s">
        <v>1111</v>
      </c>
      <c r="D150" s="67">
        <v>2.0</v>
      </c>
      <c r="E150" s="67" t="s">
        <v>83</v>
      </c>
      <c r="F150" s="67" t="s">
        <v>656</v>
      </c>
      <c r="G150" s="67">
        <v>36741.0</v>
      </c>
      <c r="H150" s="70" t="s">
        <v>175</v>
      </c>
      <c r="I150" s="70" t="s">
        <v>175</v>
      </c>
      <c r="J150" s="71"/>
      <c r="K150" s="85"/>
      <c r="L150" s="8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B151" s="60" t="s">
        <v>710</v>
      </c>
      <c r="C151" s="60" t="s">
        <v>1114</v>
      </c>
      <c r="D151" s="67">
        <v>1.5</v>
      </c>
      <c r="E151" s="67" t="s">
        <v>81</v>
      </c>
      <c r="F151" s="67" t="s">
        <v>863</v>
      </c>
      <c r="G151" s="67">
        <v>36757.0</v>
      </c>
      <c r="H151" s="70" t="s">
        <v>206</v>
      </c>
      <c r="I151" s="70" t="s">
        <v>188</v>
      </c>
      <c r="J151" s="71"/>
      <c r="K151" s="16" t="s">
        <v>367</v>
      </c>
      <c r="L151" s="325" t="s">
        <v>1115</v>
      </c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B152" s="60" t="s">
        <v>1117</v>
      </c>
      <c r="C152" s="60" t="s">
        <v>1118</v>
      </c>
      <c r="D152" s="67">
        <v>1.0</v>
      </c>
      <c r="E152" s="67" t="s">
        <v>81</v>
      </c>
      <c r="F152" s="67" t="s">
        <v>186</v>
      </c>
      <c r="G152" s="67">
        <v>36739.0</v>
      </c>
      <c r="H152" s="70" t="s">
        <v>151</v>
      </c>
      <c r="I152" s="70" t="s">
        <v>188</v>
      </c>
      <c r="J152" s="71"/>
      <c r="K152" s="245" t="s">
        <v>972</v>
      </c>
      <c r="L152" s="326" t="s">
        <v>1120</v>
      </c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B153" s="60" t="s">
        <v>1122</v>
      </c>
      <c r="C153" s="60" t="s">
        <v>1125</v>
      </c>
      <c r="D153" s="67">
        <v>2.0</v>
      </c>
      <c r="E153" s="67" t="s">
        <v>83</v>
      </c>
      <c r="F153" s="67" t="s">
        <v>545</v>
      </c>
      <c r="G153" s="67">
        <v>36737.0</v>
      </c>
      <c r="H153" s="70" t="s">
        <v>175</v>
      </c>
      <c r="I153" s="70" t="s">
        <v>175</v>
      </c>
      <c r="J153" s="71"/>
      <c r="K153" s="85"/>
      <c r="L153" s="8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B154" s="60" t="s">
        <v>1128</v>
      </c>
      <c r="C154" s="60" t="s">
        <v>1129</v>
      </c>
      <c r="D154" s="67">
        <v>1.0</v>
      </c>
      <c r="E154" s="67" t="s">
        <v>81</v>
      </c>
      <c r="F154" s="67" t="s">
        <v>118</v>
      </c>
      <c r="G154" s="67">
        <v>36753.0</v>
      </c>
      <c r="H154" s="70" t="s">
        <v>187</v>
      </c>
      <c r="I154" s="70" t="s">
        <v>188</v>
      </c>
      <c r="J154" s="71"/>
      <c r="K154" s="245" t="s">
        <v>1130</v>
      </c>
      <c r="L154" s="328" t="s">
        <v>1131</v>
      </c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B155" s="60" t="s">
        <v>1135</v>
      </c>
      <c r="C155" s="60" t="s">
        <v>1136</v>
      </c>
      <c r="D155" s="67">
        <v>2.0</v>
      </c>
      <c r="E155" s="67" t="s">
        <v>24</v>
      </c>
      <c r="F155" s="67" t="s">
        <v>1138</v>
      </c>
      <c r="G155" s="67">
        <v>36755.0</v>
      </c>
      <c r="H155" s="70" t="s">
        <v>175</v>
      </c>
      <c r="I155" s="70" t="s">
        <v>175</v>
      </c>
      <c r="J155" s="71"/>
      <c r="K155" s="85"/>
      <c r="L155" s="8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B156" s="60" t="s">
        <v>403</v>
      </c>
      <c r="C156" s="60" t="s">
        <v>404</v>
      </c>
      <c r="D156" s="67">
        <v>2.0</v>
      </c>
      <c r="E156" s="67" t="s">
        <v>81</v>
      </c>
      <c r="F156" s="67" t="s">
        <v>1145</v>
      </c>
      <c r="G156" s="67">
        <v>36759.0</v>
      </c>
      <c r="H156" s="70" t="s">
        <v>225</v>
      </c>
      <c r="I156" s="70" t="s">
        <v>188</v>
      </c>
      <c r="J156" s="71"/>
      <c r="K156" s="70" t="s">
        <v>228</v>
      </c>
      <c r="L156" s="73" t="s">
        <v>1148</v>
      </c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B157" s="60" t="s">
        <v>1150</v>
      </c>
      <c r="C157" s="60" t="s">
        <v>1151</v>
      </c>
      <c r="D157" s="67">
        <v>1.0</v>
      </c>
      <c r="E157" s="67" t="s">
        <v>24</v>
      </c>
      <c r="F157" s="67" t="s">
        <v>186</v>
      </c>
      <c r="G157" s="67">
        <v>36751.0</v>
      </c>
      <c r="H157" s="70" t="s">
        <v>151</v>
      </c>
      <c r="I157" s="70" t="s">
        <v>93</v>
      </c>
      <c r="J157" s="71"/>
      <c r="K157" s="80" t="s">
        <v>1153</v>
      </c>
      <c r="L157" s="334" t="s">
        <v>1157</v>
      </c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B158" s="60" t="s">
        <v>1159</v>
      </c>
      <c r="C158" s="60" t="s">
        <v>1160</v>
      </c>
      <c r="D158" s="67">
        <v>2.0</v>
      </c>
      <c r="E158" s="67" t="s">
        <v>145</v>
      </c>
      <c r="F158" s="67" t="s">
        <v>545</v>
      </c>
      <c r="G158" s="67">
        <v>36749.0</v>
      </c>
      <c r="H158" s="70" t="s">
        <v>175</v>
      </c>
      <c r="I158" s="70" t="s">
        <v>175</v>
      </c>
      <c r="J158" s="71"/>
      <c r="K158" s="85"/>
      <c r="L158" s="120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B159" s="60" t="s">
        <v>174</v>
      </c>
      <c r="C159" s="60" t="s">
        <v>1166</v>
      </c>
      <c r="D159" s="67">
        <v>3.0</v>
      </c>
      <c r="E159" s="67" t="s">
        <v>54</v>
      </c>
      <c r="F159" s="67" t="s">
        <v>82</v>
      </c>
      <c r="G159" s="67">
        <v>36765.0</v>
      </c>
      <c r="H159" s="70" t="s">
        <v>90</v>
      </c>
      <c r="I159" s="70" t="s">
        <v>188</v>
      </c>
      <c r="J159" s="71"/>
      <c r="K159" s="70" t="s">
        <v>819</v>
      </c>
      <c r="L159" s="73" t="s">
        <v>1170</v>
      </c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B160" s="60" t="s">
        <v>1176</v>
      </c>
      <c r="C160" s="60" t="s">
        <v>1177</v>
      </c>
      <c r="D160" s="67">
        <v>1.0</v>
      </c>
      <c r="E160" s="67" t="s">
        <v>54</v>
      </c>
      <c r="F160" s="67" t="s">
        <v>186</v>
      </c>
      <c r="G160" s="67">
        <v>36747.0</v>
      </c>
      <c r="H160" s="70" t="s">
        <v>215</v>
      </c>
      <c r="I160" s="70" t="s">
        <v>188</v>
      </c>
      <c r="J160" s="71"/>
      <c r="K160" s="245" t="s">
        <v>1179</v>
      </c>
      <c r="L160" s="338" t="s">
        <v>1182</v>
      </c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129"/>
      <c r="B161" s="60" t="s">
        <v>1184</v>
      </c>
      <c r="C161" s="60" t="s">
        <v>1186</v>
      </c>
      <c r="D161" s="67">
        <v>2.0</v>
      </c>
      <c r="E161" s="67" t="s">
        <v>83</v>
      </c>
      <c r="F161" s="67" t="s">
        <v>500</v>
      </c>
      <c r="G161" s="67">
        <v>36745.0</v>
      </c>
      <c r="H161" s="70" t="s">
        <v>175</v>
      </c>
      <c r="I161" s="70" t="s">
        <v>175</v>
      </c>
      <c r="J161" s="71"/>
      <c r="K161" s="85"/>
      <c r="L161" s="120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129"/>
      <c r="B162" s="131" t="s">
        <v>167</v>
      </c>
      <c r="C162" s="13"/>
      <c r="D162" s="132">
        <f>SUM(D147:D161)</f>
        <v>24.5</v>
      </c>
      <c r="E162" s="131" t="s">
        <v>167</v>
      </c>
      <c r="F162" s="13"/>
      <c r="G162" s="13"/>
      <c r="H162" s="13"/>
      <c r="I162" s="13"/>
      <c r="J162" s="13"/>
      <c r="K162" s="13"/>
      <c r="L162" s="18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129"/>
      <c r="B163" s="5"/>
      <c r="C163" s="5"/>
      <c r="D163" s="5"/>
      <c r="E163" s="5"/>
      <c r="F163" s="5"/>
      <c r="G163" s="5"/>
      <c r="H163" s="5"/>
      <c r="I163" s="5"/>
      <c r="J163" s="5"/>
      <c r="K163" s="92"/>
      <c r="L163" s="13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38" t="str">
        <f>B164</f>
        <v>IT 202</v>
      </c>
      <c r="B164" s="42" t="s">
        <v>1194</v>
      </c>
      <c r="C164" s="13"/>
      <c r="D164" s="13"/>
      <c r="E164" s="13"/>
      <c r="F164" s="13"/>
      <c r="G164" s="13"/>
      <c r="H164" s="13"/>
      <c r="I164" s="13"/>
      <c r="J164" s="13"/>
      <c r="K164" s="13"/>
      <c r="L164" s="18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B165" s="20" t="s">
        <v>1</v>
      </c>
      <c r="C165" s="20" t="s">
        <v>2</v>
      </c>
      <c r="D165" s="20" t="s">
        <v>6</v>
      </c>
      <c r="E165" s="20" t="s">
        <v>4</v>
      </c>
      <c r="F165" s="20" t="s">
        <v>5</v>
      </c>
      <c r="G165" s="20" t="s">
        <v>3</v>
      </c>
      <c r="H165" s="20" t="s">
        <v>7</v>
      </c>
      <c r="I165" s="26" t="s">
        <v>27</v>
      </c>
      <c r="J165" s="28" t="s">
        <v>10</v>
      </c>
      <c r="K165" s="31" t="s">
        <v>8</v>
      </c>
      <c r="L165" s="32" t="s">
        <v>9</v>
      </c>
      <c r="M165" s="343"/>
      <c r="N165" s="343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B166" s="60" t="s">
        <v>1089</v>
      </c>
      <c r="C166" s="60" t="s">
        <v>1090</v>
      </c>
      <c r="D166" s="67">
        <v>1.0</v>
      </c>
      <c r="E166" s="67" t="s">
        <v>54</v>
      </c>
      <c r="F166" s="67" t="s">
        <v>82</v>
      </c>
      <c r="G166" s="67">
        <v>36786.0</v>
      </c>
      <c r="H166" s="70" t="s">
        <v>187</v>
      </c>
      <c r="I166" s="70" t="s">
        <v>188</v>
      </c>
      <c r="J166" s="71"/>
      <c r="K166" s="245" t="s">
        <v>1091</v>
      </c>
      <c r="L166" s="323" t="s">
        <v>1209</v>
      </c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B167" s="60" t="s">
        <v>1096</v>
      </c>
      <c r="C167" s="60" t="s">
        <v>1097</v>
      </c>
      <c r="D167" s="67">
        <v>2.0</v>
      </c>
      <c r="E167" s="67" t="s">
        <v>145</v>
      </c>
      <c r="F167" s="67" t="s">
        <v>500</v>
      </c>
      <c r="G167" s="67">
        <v>36784.0</v>
      </c>
      <c r="H167" s="70" t="s">
        <v>175</v>
      </c>
      <c r="I167" s="70" t="s">
        <v>175</v>
      </c>
      <c r="J167" s="71"/>
      <c r="K167" s="85"/>
      <c r="L167" s="8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B168" s="60" t="s">
        <v>1103</v>
      </c>
      <c r="C168" s="60" t="s">
        <v>1104</v>
      </c>
      <c r="D168" s="67">
        <v>1.0</v>
      </c>
      <c r="E168" s="67" t="s">
        <v>54</v>
      </c>
      <c r="F168" s="67" t="s">
        <v>186</v>
      </c>
      <c r="G168" s="67">
        <v>36769.0</v>
      </c>
      <c r="H168" s="70" t="s">
        <v>151</v>
      </c>
      <c r="I168" s="70" t="s">
        <v>188</v>
      </c>
      <c r="J168" s="71"/>
      <c r="K168" s="245" t="s">
        <v>1106</v>
      </c>
      <c r="L168" s="83" t="s">
        <v>1222</v>
      </c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B169" s="60" t="s">
        <v>1109</v>
      </c>
      <c r="C169" s="60" t="s">
        <v>1111</v>
      </c>
      <c r="D169" s="67">
        <v>2.0</v>
      </c>
      <c r="E169" s="67" t="s">
        <v>83</v>
      </c>
      <c r="F169" s="67" t="s">
        <v>545</v>
      </c>
      <c r="G169" s="67">
        <v>36767.0</v>
      </c>
      <c r="H169" s="70" t="s">
        <v>175</v>
      </c>
      <c r="I169" s="70" t="s">
        <v>175</v>
      </c>
      <c r="J169" s="71"/>
      <c r="K169" s="85"/>
      <c r="L169" s="8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B170" s="60" t="s">
        <v>710</v>
      </c>
      <c r="C170" s="60" t="s">
        <v>1114</v>
      </c>
      <c r="D170" s="67">
        <v>1.5</v>
      </c>
      <c r="E170" s="67" t="s">
        <v>81</v>
      </c>
      <c r="F170" s="67" t="s">
        <v>203</v>
      </c>
      <c r="G170" s="67">
        <v>36792.0</v>
      </c>
      <c r="H170" s="70" t="s">
        <v>206</v>
      </c>
      <c r="I170" s="70" t="s">
        <v>188</v>
      </c>
      <c r="J170" s="71"/>
      <c r="K170" s="16" t="s">
        <v>104</v>
      </c>
      <c r="L170" s="216" t="s">
        <v>1228</v>
      </c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B171" s="60" t="s">
        <v>1117</v>
      </c>
      <c r="C171" s="60" t="s">
        <v>1118</v>
      </c>
      <c r="D171" s="67">
        <v>1.0</v>
      </c>
      <c r="E171" s="67" t="s">
        <v>24</v>
      </c>
      <c r="F171" s="67" t="s">
        <v>186</v>
      </c>
      <c r="G171" s="67">
        <v>36773.0</v>
      </c>
      <c r="H171" s="70" t="s">
        <v>1230</v>
      </c>
      <c r="I171" s="70" t="s">
        <v>93</v>
      </c>
      <c r="J171" s="71"/>
      <c r="K171" s="245" t="s">
        <v>972</v>
      </c>
      <c r="L171" s="242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B172" s="60" t="s">
        <v>1122</v>
      </c>
      <c r="C172" s="60" t="s">
        <v>1125</v>
      </c>
      <c r="D172" s="67">
        <v>2.0</v>
      </c>
      <c r="E172" s="67" t="s">
        <v>83</v>
      </c>
      <c r="F172" s="67" t="s">
        <v>656</v>
      </c>
      <c r="G172" s="67">
        <v>36771.0</v>
      </c>
      <c r="H172" s="70" t="s">
        <v>175</v>
      </c>
      <c r="I172" s="70" t="s">
        <v>175</v>
      </c>
      <c r="J172" s="71"/>
      <c r="K172" s="85"/>
      <c r="L172" s="351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B173" s="60" t="s">
        <v>1128</v>
      </c>
      <c r="C173" s="60" t="s">
        <v>1129</v>
      </c>
      <c r="D173" s="67">
        <v>1.0</v>
      </c>
      <c r="E173" s="67" t="s">
        <v>81</v>
      </c>
      <c r="F173" s="67" t="s">
        <v>186</v>
      </c>
      <c r="G173" s="67">
        <v>36788.0</v>
      </c>
      <c r="H173" s="70" t="s">
        <v>187</v>
      </c>
      <c r="I173" s="70" t="s">
        <v>188</v>
      </c>
      <c r="J173" s="71"/>
      <c r="K173" s="245" t="s">
        <v>1130</v>
      </c>
      <c r="L173" s="83" t="s">
        <v>1234</v>
      </c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B174" s="60" t="s">
        <v>1135</v>
      </c>
      <c r="C174" s="60" t="s">
        <v>1136</v>
      </c>
      <c r="D174" s="67">
        <v>2.0</v>
      </c>
      <c r="E174" s="67" t="s">
        <v>24</v>
      </c>
      <c r="F174" s="67" t="s">
        <v>500</v>
      </c>
      <c r="G174" s="67">
        <v>36790.0</v>
      </c>
      <c r="H174" s="70" t="s">
        <v>175</v>
      </c>
      <c r="I174" s="70" t="s">
        <v>175</v>
      </c>
      <c r="J174" s="71"/>
      <c r="K174" s="85"/>
      <c r="L174" s="8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B175" s="60" t="s">
        <v>403</v>
      </c>
      <c r="C175" s="60" t="s">
        <v>404</v>
      </c>
      <c r="D175" s="67">
        <v>2.0</v>
      </c>
      <c r="E175" s="67" t="s">
        <v>24</v>
      </c>
      <c r="F175" s="67" t="s">
        <v>349</v>
      </c>
      <c r="G175" s="67">
        <v>36794.0</v>
      </c>
      <c r="H175" s="70" t="s">
        <v>225</v>
      </c>
      <c r="I175" s="70" t="s">
        <v>93</v>
      </c>
      <c r="J175" s="71"/>
      <c r="K175" s="70" t="s">
        <v>228</v>
      </c>
      <c r="L175" s="73" t="s">
        <v>1239</v>
      </c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B176" s="60" t="s">
        <v>1150</v>
      </c>
      <c r="C176" s="60" t="s">
        <v>1151</v>
      </c>
      <c r="D176" s="67">
        <v>1.0</v>
      </c>
      <c r="E176" s="67" t="s">
        <v>24</v>
      </c>
      <c r="F176" s="67" t="s">
        <v>118</v>
      </c>
      <c r="G176" s="67">
        <v>36777.0</v>
      </c>
      <c r="H176" s="70" t="s">
        <v>151</v>
      </c>
      <c r="I176" s="70" t="s">
        <v>93</v>
      </c>
      <c r="J176" s="71"/>
      <c r="K176" s="80" t="s">
        <v>1153</v>
      </c>
      <c r="L176" s="353" t="s">
        <v>1242</v>
      </c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B177" s="60" t="s">
        <v>1159</v>
      </c>
      <c r="C177" s="60" t="s">
        <v>1160</v>
      </c>
      <c r="D177" s="67">
        <v>2.0</v>
      </c>
      <c r="E177" s="67" t="s">
        <v>145</v>
      </c>
      <c r="F177" s="67" t="s">
        <v>656</v>
      </c>
      <c r="G177" s="67">
        <v>36775.0</v>
      </c>
      <c r="H177" s="70" t="s">
        <v>175</v>
      </c>
      <c r="I177" s="70" t="s">
        <v>175</v>
      </c>
      <c r="J177" s="71"/>
      <c r="K177" s="85"/>
      <c r="L177" s="120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B178" s="60" t="s">
        <v>174</v>
      </c>
      <c r="C178" s="60" t="s">
        <v>1166</v>
      </c>
      <c r="D178" s="67">
        <v>3.0</v>
      </c>
      <c r="E178" s="67" t="s">
        <v>54</v>
      </c>
      <c r="F178" s="67" t="s">
        <v>271</v>
      </c>
      <c r="G178" s="67">
        <v>36796.0</v>
      </c>
      <c r="H178" s="70" t="s">
        <v>90</v>
      </c>
      <c r="I178" s="70" t="s">
        <v>188</v>
      </c>
      <c r="J178" s="71"/>
      <c r="K178" s="70" t="s">
        <v>819</v>
      </c>
      <c r="L178" s="73" t="s">
        <v>1254</v>
      </c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B179" s="60" t="s">
        <v>1176</v>
      </c>
      <c r="C179" s="60" t="s">
        <v>1177</v>
      </c>
      <c r="D179" s="67">
        <v>1.0</v>
      </c>
      <c r="E179" s="67" t="s">
        <v>54</v>
      </c>
      <c r="F179" s="67" t="s">
        <v>118</v>
      </c>
      <c r="G179" s="67">
        <v>36782.0</v>
      </c>
      <c r="H179" s="70" t="s">
        <v>215</v>
      </c>
      <c r="I179" s="70" t="s">
        <v>188</v>
      </c>
      <c r="J179" s="71"/>
      <c r="K179" s="245" t="s">
        <v>1179</v>
      </c>
      <c r="L179" s="83" t="s">
        <v>1261</v>
      </c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129"/>
      <c r="B180" s="60" t="s">
        <v>1184</v>
      </c>
      <c r="C180" s="60" t="s">
        <v>1186</v>
      </c>
      <c r="D180" s="67">
        <v>2.0</v>
      </c>
      <c r="E180" s="67" t="s">
        <v>145</v>
      </c>
      <c r="F180" s="67" t="s">
        <v>534</v>
      </c>
      <c r="G180" s="67">
        <v>36779.0</v>
      </c>
      <c r="H180" s="70" t="s">
        <v>175</v>
      </c>
      <c r="I180" s="70" t="s">
        <v>175</v>
      </c>
      <c r="J180" s="71"/>
      <c r="K180" s="85"/>
      <c r="L180" s="8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129"/>
      <c r="B181" s="131" t="s">
        <v>167</v>
      </c>
      <c r="C181" s="13"/>
      <c r="D181" s="132">
        <f>SUM(D166:D180)</f>
        <v>24.5</v>
      </c>
      <c r="E181" s="131" t="s">
        <v>167</v>
      </c>
      <c r="F181" s="13"/>
      <c r="G181" s="13"/>
      <c r="H181" s="13"/>
      <c r="I181" s="13"/>
      <c r="J181" s="13"/>
      <c r="K181" s="13"/>
      <c r="L181" s="18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129"/>
      <c r="B182" s="5"/>
      <c r="C182" s="5"/>
      <c r="D182" s="5"/>
      <c r="E182" s="5"/>
      <c r="F182" s="5"/>
      <c r="G182" s="5"/>
      <c r="H182" s="5"/>
      <c r="I182" s="5"/>
      <c r="J182" s="5"/>
      <c r="K182" s="92"/>
      <c r="L182" s="13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38" t="str">
        <f>B183</f>
        <v>IT 203 - DISSOLVED</v>
      </c>
      <c r="B183" s="360" t="s">
        <v>1272</v>
      </c>
      <c r="C183" s="13"/>
      <c r="D183" s="13"/>
      <c r="E183" s="13"/>
      <c r="F183" s="13"/>
      <c r="G183" s="13"/>
      <c r="H183" s="13"/>
      <c r="I183" s="13"/>
      <c r="J183" s="13"/>
      <c r="K183" s="13"/>
      <c r="L183" s="18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B184" s="20" t="s">
        <v>1</v>
      </c>
      <c r="C184" s="20" t="s">
        <v>2</v>
      </c>
      <c r="D184" s="20" t="s">
        <v>6</v>
      </c>
      <c r="E184" s="20" t="s">
        <v>4</v>
      </c>
      <c r="F184" s="20" t="s">
        <v>5</v>
      </c>
      <c r="G184" s="20" t="s">
        <v>3</v>
      </c>
      <c r="H184" s="20" t="s">
        <v>7</v>
      </c>
      <c r="I184" s="26" t="s">
        <v>27</v>
      </c>
      <c r="J184" s="28" t="s">
        <v>10</v>
      </c>
      <c r="K184" s="31" t="s">
        <v>8</v>
      </c>
      <c r="L184" s="32" t="s">
        <v>9</v>
      </c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B185" s="60" t="s">
        <v>1089</v>
      </c>
      <c r="C185" s="60" t="s">
        <v>1090</v>
      </c>
      <c r="D185" s="67">
        <v>1.0</v>
      </c>
      <c r="E185" s="67"/>
      <c r="F185" s="67"/>
      <c r="G185" s="67"/>
      <c r="H185" s="70"/>
      <c r="I185" s="70"/>
      <c r="J185" s="71"/>
      <c r="K185" s="245"/>
      <c r="L185" s="80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B186" s="60" t="s">
        <v>1096</v>
      </c>
      <c r="C186" s="60" t="s">
        <v>1097</v>
      </c>
      <c r="D186" s="67">
        <v>2.0</v>
      </c>
      <c r="E186" s="67"/>
      <c r="F186" s="67"/>
      <c r="G186" s="67"/>
      <c r="H186" s="70"/>
      <c r="I186" s="70"/>
      <c r="J186" s="71"/>
      <c r="K186" s="85"/>
      <c r="L186" s="8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B187" s="60" t="s">
        <v>1103</v>
      </c>
      <c r="C187" s="60" t="s">
        <v>1104</v>
      </c>
      <c r="D187" s="67">
        <v>1.0</v>
      </c>
      <c r="E187" s="67"/>
      <c r="F187" s="67"/>
      <c r="G187" s="67"/>
      <c r="H187" s="70"/>
      <c r="I187" s="70"/>
      <c r="J187" s="71"/>
      <c r="K187" s="245"/>
      <c r="L187" s="80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B188" s="60" t="s">
        <v>1109</v>
      </c>
      <c r="C188" s="60" t="s">
        <v>1111</v>
      </c>
      <c r="D188" s="67">
        <v>2.0</v>
      </c>
      <c r="E188" s="67"/>
      <c r="F188" s="67"/>
      <c r="G188" s="67"/>
      <c r="H188" s="70"/>
      <c r="I188" s="70"/>
      <c r="J188" s="71"/>
      <c r="K188" s="85"/>
      <c r="L188" s="8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B189" s="60" t="s">
        <v>710</v>
      </c>
      <c r="C189" s="60" t="s">
        <v>1114</v>
      </c>
      <c r="D189" s="67">
        <v>1.5</v>
      </c>
      <c r="E189" s="67"/>
      <c r="F189" s="67"/>
      <c r="G189" s="67"/>
      <c r="H189" s="70"/>
      <c r="I189" s="70"/>
      <c r="J189" s="71"/>
      <c r="K189" s="70"/>
      <c r="L189" s="363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B190" s="60" t="s">
        <v>1117</v>
      </c>
      <c r="C190" s="60" t="s">
        <v>1118</v>
      </c>
      <c r="D190" s="67">
        <v>1.0</v>
      </c>
      <c r="E190" s="67"/>
      <c r="F190" s="67"/>
      <c r="G190" s="67"/>
      <c r="H190" s="70"/>
      <c r="I190" s="70"/>
      <c r="J190" s="71"/>
      <c r="K190" s="245"/>
      <c r="L190" s="80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B191" s="60" t="s">
        <v>1122</v>
      </c>
      <c r="C191" s="60" t="s">
        <v>1125</v>
      </c>
      <c r="D191" s="67">
        <v>2.0</v>
      </c>
      <c r="E191" s="67"/>
      <c r="F191" s="67"/>
      <c r="G191" s="67"/>
      <c r="H191" s="70"/>
      <c r="I191" s="70"/>
      <c r="J191" s="71"/>
      <c r="K191" s="85"/>
      <c r="L191" s="8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B192" s="60" t="s">
        <v>1128</v>
      </c>
      <c r="C192" s="60" t="s">
        <v>1129</v>
      </c>
      <c r="D192" s="67">
        <v>1.0</v>
      </c>
      <c r="E192" s="67"/>
      <c r="F192" s="67"/>
      <c r="G192" s="67"/>
      <c r="H192" s="70"/>
      <c r="I192" s="70"/>
      <c r="J192" s="71"/>
      <c r="K192" s="245"/>
      <c r="L192" s="80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B193" s="60" t="s">
        <v>1135</v>
      </c>
      <c r="C193" s="60" t="s">
        <v>1136</v>
      </c>
      <c r="D193" s="67">
        <v>2.0</v>
      </c>
      <c r="E193" s="67"/>
      <c r="F193" s="67"/>
      <c r="G193" s="67"/>
      <c r="H193" s="70"/>
      <c r="I193" s="70"/>
      <c r="J193" s="71"/>
      <c r="K193" s="85"/>
      <c r="L193" s="8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B194" s="60" t="s">
        <v>403</v>
      </c>
      <c r="C194" s="60" t="s">
        <v>404</v>
      </c>
      <c r="D194" s="67">
        <v>2.0</v>
      </c>
      <c r="E194" s="67"/>
      <c r="F194" s="67"/>
      <c r="G194" s="67"/>
      <c r="H194" s="70"/>
      <c r="I194" s="70"/>
      <c r="J194" s="71"/>
      <c r="K194" s="70"/>
      <c r="L194" s="363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B195" s="60" t="s">
        <v>1150</v>
      </c>
      <c r="C195" s="60" t="s">
        <v>1151</v>
      </c>
      <c r="D195" s="67">
        <v>1.0</v>
      </c>
      <c r="E195" s="67"/>
      <c r="F195" s="67"/>
      <c r="G195" s="67"/>
      <c r="H195" s="70"/>
      <c r="I195" s="70"/>
      <c r="J195" s="71"/>
      <c r="K195" s="245"/>
      <c r="L195" s="80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B196" s="60" t="s">
        <v>1159</v>
      </c>
      <c r="C196" s="60" t="s">
        <v>1160</v>
      </c>
      <c r="D196" s="67">
        <v>2.0</v>
      </c>
      <c r="E196" s="67"/>
      <c r="F196" s="67"/>
      <c r="G196" s="67"/>
      <c r="H196" s="70"/>
      <c r="I196" s="70"/>
      <c r="J196" s="71"/>
      <c r="K196" s="85"/>
      <c r="L196" s="8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B197" s="60" t="s">
        <v>174</v>
      </c>
      <c r="C197" s="60" t="s">
        <v>1166</v>
      </c>
      <c r="D197" s="67">
        <v>3.0</v>
      </c>
      <c r="E197" s="67"/>
      <c r="F197" s="67"/>
      <c r="G197" s="67"/>
      <c r="H197" s="70"/>
      <c r="I197" s="70"/>
      <c r="J197" s="71"/>
      <c r="K197" s="70"/>
      <c r="L197" s="363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B198" s="60" t="s">
        <v>1176</v>
      </c>
      <c r="C198" s="60" t="s">
        <v>1177</v>
      </c>
      <c r="D198" s="67">
        <v>1.0</v>
      </c>
      <c r="E198" s="67"/>
      <c r="F198" s="67"/>
      <c r="G198" s="67"/>
      <c r="H198" s="70"/>
      <c r="I198" s="70"/>
      <c r="J198" s="71"/>
      <c r="K198" s="245"/>
      <c r="L198" s="80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129"/>
      <c r="B199" s="60" t="s">
        <v>1184</v>
      </c>
      <c r="C199" s="60" t="s">
        <v>1186</v>
      </c>
      <c r="D199" s="67">
        <v>2.0</v>
      </c>
      <c r="E199" s="67"/>
      <c r="F199" s="67"/>
      <c r="G199" s="67"/>
      <c r="H199" s="70"/>
      <c r="I199" s="70"/>
      <c r="J199" s="71"/>
      <c r="K199" s="85"/>
      <c r="L199" s="8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129"/>
      <c r="B200" s="131" t="s">
        <v>167</v>
      </c>
      <c r="C200" s="13"/>
      <c r="D200" s="132">
        <f>SUM(D185:D199)</f>
        <v>24.5</v>
      </c>
      <c r="E200" s="131" t="s">
        <v>167</v>
      </c>
      <c r="F200" s="13"/>
      <c r="G200" s="13"/>
      <c r="H200" s="13"/>
      <c r="I200" s="13"/>
      <c r="J200" s="13"/>
      <c r="K200" s="13"/>
      <c r="L200" s="18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38" t="str">
        <f>B201</f>
        <v>IT 204</v>
      </c>
      <c r="B201" s="42" t="s">
        <v>1328</v>
      </c>
      <c r="C201" s="13"/>
      <c r="D201" s="13"/>
      <c r="E201" s="13"/>
      <c r="F201" s="13"/>
      <c r="G201" s="13"/>
      <c r="H201" s="13"/>
      <c r="I201" s="13"/>
      <c r="J201" s="13"/>
      <c r="K201" s="13"/>
      <c r="L201" s="18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B202" s="20" t="s">
        <v>1</v>
      </c>
      <c r="C202" s="20" t="s">
        <v>2</v>
      </c>
      <c r="D202" s="20" t="s">
        <v>6</v>
      </c>
      <c r="E202" s="20" t="s">
        <v>4</v>
      </c>
      <c r="F202" s="20" t="s">
        <v>5</v>
      </c>
      <c r="G202" s="20" t="s">
        <v>3</v>
      </c>
      <c r="H202" s="20" t="s">
        <v>7</v>
      </c>
      <c r="I202" s="26" t="s">
        <v>27</v>
      </c>
      <c r="J202" s="28" t="s">
        <v>10</v>
      </c>
      <c r="K202" s="31" t="s">
        <v>8</v>
      </c>
      <c r="L202" s="32" t="s">
        <v>9</v>
      </c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B203" s="60" t="s">
        <v>1089</v>
      </c>
      <c r="C203" s="60" t="s">
        <v>1090</v>
      </c>
      <c r="D203" s="67">
        <v>1.0</v>
      </c>
      <c r="E203" s="67" t="s">
        <v>54</v>
      </c>
      <c r="F203" s="67" t="s">
        <v>186</v>
      </c>
      <c r="G203" s="67">
        <v>36834.0</v>
      </c>
      <c r="H203" s="70" t="s">
        <v>187</v>
      </c>
      <c r="I203" s="70" t="s">
        <v>188</v>
      </c>
      <c r="J203" s="71"/>
      <c r="K203" s="245" t="s">
        <v>1091</v>
      </c>
      <c r="L203" s="323" t="s">
        <v>1330</v>
      </c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B204" s="60" t="s">
        <v>1096</v>
      </c>
      <c r="C204" s="60" t="s">
        <v>1097</v>
      </c>
      <c r="D204" s="67">
        <v>2.0</v>
      </c>
      <c r="E204" s="67" t="s">
        <v>83</v>
      </c>
      <c r="F204" s="67" t="s">
        <v>500</v>
      </c>
      <c r="G204" s="67">
        <v>36832.0</v>
      </c>
      <c r="H204" s="70" t="s">
        <v>175</v>
      </c>
      <c r="I204" s="70" t="s">
        <v>175</v>
      </c>
      <c r="J204" s="71"/>
      <c r="K204" s="85"/>
      <c r="L204" s="8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B205" s="60" t="s">
        <v>1103</v>
      </c>
      <c r="C205" s="60" t="s">
        <v>1104</v>
      </c>
      <c r="D205" s="67">
        <v>1.0</v>
      </c>
      <c r="E205" s="67" t="s">
        <v>54</v>
      </c>
      <c r="F205" s="67" t="s">
        <v>271</v>
      </c>
      <c r="G205" s="67">
        <v>36848.0</v>
      </c>
      <c r="H205" s="70" t="s">
        <v>151</v>
      </c>
      <c r="I205" s="70" t="s">
        <v>188</v>
      </c>
      <c r="J205" s="71"/>
      <c r="K205" s="245" t="s">
        <v>1106</v>
      </c>
      <c r="L205" s="83" t="s">
        <v>1331</v>
      </c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B206" s="60" t="s">
        <v>1109</v>
      </c>
      <c r="C206" s="60" t="s">
        <v>1111</v>
      </c>
      <c r="D206" s="67">
        <v>2.0</v>
      </c>
      <c r="E206" s="67" t="s">
        <v>81</v>
      </c>
      <c r="F206" s="67" t="s">
        <v>656</v>
      </c>
      <c r="G206" s="67">
        <v>36846.0</v>
      </c>
      <c r="H206" s="70" t="s">
        <v>175</v>
      </c>
      <c r="I206" s="70" t="s">
        <v>175</v>
      </c>
      <c r="J206" s="71"/>
      <c r="K206" s="85"/>
      <c r="L206" s="8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B207" s="60" t="s">
        <v>710</v>
      </c>
      <c r="C207" s="60" t="s">
        <v>1114</v>
      </c>
      <c r="D207" s="67">
        <v>1.5</v>
      </c>
      <c r="E207" s="67" t="s">
        <v>54</v>
      </c>
      <c r="F207" s="67" t="s">
        <v>203</v>
      </c>
      <c r="G207" s="67">
        <v>36856.0</v>
      </c>
      <c r="H207" s="70" t="s">
        <v>206</v>
      </c>
      <c r="I207" s="70" t="s">
        <v>188</v>
      </c>
      <c r="J207" s="71"/>
      <c r="K207" s="16" t="s">
        <v>367</v>
      </c>
      <c r="L207" s="73" t="s">
        <v>1334</v>
      </c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B208" s="60" t="s">
        <v>1117</v>
      </c>
      <c r="C208" s="60" t="s">
        <v>1118</v>
      </c>
      <c r="D208" s="67">
        <v>1.0</v>
      </c>
      <c r="E208" s="67" t="s">
        <v>71</v>
      </c>
      <c r="F208" s="67" t="s">
        <v>82</v>
      </c>
      <c r="G208" s="67">
        <v>36842.0</v>
      </c>
      <c r="H208" s="70" t="s">
        <v>1230</v>
      </c>
      <c r="I208" s="70" t="s">
        <v>93</v>
      </c>
      <c r="J208" s="71"/>
      <c r="K208" s="245" t="s">
        <v>1336</v>
      </c>
      <c r="L208" s="83" t="s">
        <v>1338</v>
      </c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B209" s="60" t="s">
        <v>1122</v>
      </c>
      <c r="C209" s="60" t="s">
        <v>1125</v>
      </c>
      <c r="D209" s="67">
        <v>2.0</v>
      </c>
      <c r="E209" s="67" t="s">
        <v>24</v>
      </c>
      <c r="F209" s="67" t="s">
        <v>500</v>
      </c>
      <c r="G209" s="67">
        <v>36844.0</v>
      </c>
      <c r="H209" s="70" t="s">
        <v>175</v>
      </c>
      <c r="I209" s="70" t="s">
        <v>175</v>
      </c>
      <c r="J209" s="71"/>
      <c r="K209" s="85"/>
      <c r="L209" s="8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B210" s="60" t="s">
        <v>1128</v>
      </c>
      <c r="C210" s="60" t="s">
        <v>1129</v>
      </c>
      <c r="D210" s="67">
        <v>1.0</v>
      </c>
      <c r="E210" s="67" t="s">
        <v>81</v>
      </c>
      <c r="F210" s="67" t="s">
        <v>82</v>
      </c>
      <c r="G210" s="67">
        <v>36852.0</v>
      </c>
      <c r="H210" s="70" t="s">
        <v>187</v>
      </c>
      <c r="I210" s="70" t="s">
        <v>188</v>
      </c>
      <c r="J210" s="71"/>
      <c r="K210" s="245" t="s">
        <v>1130</v>
      </c>
      <c r="L210" s="83" t="s">
        <v>1340</v>
      </c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B211" s="60" t="s">
        <v>1135</v>
      </c>
      <c r="C211" s="60" t="s">
        <v>1136</v>
      </c>
      <c r="D211" s="67">
        <v>2.0</v>
      </c>
      <c r="E211" s="67" t="s">
        <v>24</v>
      </c>
      <c r="F211" s="67" t="s">
        <v>534</v>
      </c>
      <c r="G211" s="67">
        <v>36854.0</v>
      </c>
      <c r="H211" s="70" t="s">
        <v>175</v>
      </c>
      <c r="I211" s="70" t="s">
        <v>175</v>
      </c>
      <c r="J211" s="71"/>
      <c r="K211" s="85"/>
      <c r="L211" s="8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B212" s="60" t="s">
        <v>403</v>
      </c>
      <c r="C212" s="60" t="s">
        <v>404</v>
      </c>
      <c r="D212" s="67">
        <v>2.0</v>
      </c>
      <c r="E212" s="67" t="s">
        <v>71</v>
      </c>
      <c r="F212" s="67" t="s">
        <v>1342</v>
      </c>
      <c r="G212" s="67">
        <v>36840.0</v>
      </c>
      <c r="H212" s="70" t="s">
        <v>225</v>
      </c>
      <c r="I212" s="70" t="s">
        <v>93</v>
      </c>
      <c r="J212" s="71"/>
      <c r="K212" s="70" t="s">
        <v>228</v>
      </c>
      <c r="L212" s="73" t="s">
        <v>1343</v>
      </c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B213" s="60" t="s">
        <v>1150</v>
      </c>
      <c r="C213" s="60" t="s">
        <v>1151</v>
      </c>
      <c r="D213" s="67">
        <v>1.0</v>
      </c>
      <c r="E213" s="67" t="s">
        <v>71</v>
      </c>
      <c r="F213" s="67" t="s">
        <v>118</v>
      </c>
      <c r="G213" s="67">
        <v>36836.0</v>
      </c>
      <c r="H213" s="70" t="s">
        <v>197</v>
      </c>
      <c r="I213" s="70" t="s">
        <v>93</v>
      </c>
      <c r="J213" s="71"/>
      <c r="K213" s="80" t="s">
        <v>1153</v>
      </c>
      <c r="L213" s="353" t="s">
        <v>1344</v>
      </c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B214" s="60" t="s">
        <v>1159</v>
      </c>
      <c r="C214" s="60" t="s">
        <v>1160</v>
      </c>
      <c r="D214" s="67">
        <v>2.0</v>
      </c>
      <c r="E214" s="67" t="s">
        <v>81</v>
      </c>
      <c r="F214" s="67" t="s">
        <v>405</v>
      </c>
      <c r="G214" s="67">
        <v>36838.0</v>
      </c>
      <c r="H214" s="70" t="s">
        <v>175</v>
      </c>
      <c r="I214" s="70" t="s">
        <v>175</v>
      </c>
      <c r="J214" s="71"/>
      <c r="K214" s="85"/>
      <c r="L214" s="120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B215" s="60" t="s">
        <v>174</v>
      </c>
      <c r="C215" s="60" t="s">
        <v>1166</v>
      </c>
      <c r="D215" s="67">
        <v>3.0</v>
      </c>
      <c r="E215" s="67" t="s">
        <v>81</v>
      </c>
      <c r="F215" s="67" t="s">
        <v>271</v>
      </c>
      <c r="G215" s="67">
        <v>36850.0</v>
      </c>
      <c r="H215" s="70" t="s">
        <v>215</v>
      </c>
      <c r="I215" s="70" t="s">
        <v>188</v>
      </c>
      <c r="J215" s="71"/>
      <c r="K215" s="16" t="s">
        <v>330</v>
      </c>
      <c r="L215" s="73" t="s">
        <v>1347</v>
      </c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B216" s="60" t="s">
        <v>1176</v>
      </c>
      <c r="C216" s="60" t="s">
        <v>1177</v>
      </c>
      <c r="D216" s="67">
        <v>1.0</v>
      </c>
      <c r="E216" s="67" t="s">
        <v>54</v>
      </c>
      <c r="F216" s="67" t="s">
        <v>82</v>
      </c>
      <c r="G216" s="67">
        <v>36830.0</v>
      </c>
      <c r="H216" s="70" t="s">
        <v>215</v>
      </c>
      <c r="I216" s="70" t="s">
        <v>188</v>
      </c>
      <c r="J216" s="71"/>
      <c r="K216" s="245" t="s">
        <v>1179</v>
      </c>
      <c r="L216" s="83" t="s">
        <v>1349</v>
      </c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129"/>
      <c r="B217" s="60" t="s">
        <v>1184</v>
      </c>
      <c r="C217" s="60" t="s">
        <v>1186</v>
      </c>
      <c r="D217" s="67">
        <v>2.0</v>
      </c>
      <c r="E217" s="67" t="s">
        <v>83</v>
      </c>
      <c r="F217" s="67" t="s">
        <v>534</v>
      </c>
      <c r="G217" s="67">
        <v>36828.0</v>
      </c>
      <c r="H217" s="70" t="s">
        <v>175</v>
      </c>
      <c r="I217" s="70" t="s">
        <v>175</v>
      </c>
      <c r="J217" s="71"/>
      <c r="K217" s="85"/>
      <c r="L217" s="8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129"/>
      <c r="B218" s="131" t="s">
        <v>167</v>
      </c>
      <c r="C218" s="13"/>
      <c r="D218" s="132">
        <f>SUM(D203:D217)</f>
        <v>24.5</v>
      </c>
      <c r="E218" s="131" t="s">
        <v>167</v>
      </c>
      <c r="F218" s="13"/>
      <c r="G218" s="13"/>
      <c r="H218" s="13"/>
      <c r="I218" s="13"/>
      <c r="J218" s="13"/>
      <c r="K218" s="13"/>
      <c r="L218" s="18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129"/>
      <c r="B219" s="5"/>
      <c r="C219" s="5"/>
      <c r="D219" s="5"/>
      <c r="E219" s="5"/>
      <c r="F219" s="5"/>
      <c r="G219" s="5"/>
      <c r="H219" s="5"/>
      <c r="I219" s="5"/>
      <c r="J219" s="5"/>
      <c r="K219" s="92"/>
      <c r="L219" s="13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38" t="str">
        <f>B220</f>
        <v>IT 205</v>
      </c>
      <c r="B220" s="42" t="s">
        <v>1352</v>
      </c>
      <c r="C220" s="13"/>
      <c r="D220" s="13"/>
      <c r="E220" s="13"/>
      <c r="F220" s="13"/>
      <c r="G220" s="13"/>
      <c r="H220" s="13"/>
      <c r="I220" s="13"/>
      <c r="J220" s="13"/>
      <c r="K220" s="13"/>
      <c r="L220" s="18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B221" s="20" t="s">
        <v>1</v>
      </c>
      <c r="C221" s="20" t="s">
        <v>2</v>
      </c>
      <c r="D221" s="20" t="s">
        <v>6</v>
      </c>
      <c r="E221" s="20" t="s">
        <v>4</v>
      </c>
      <c r="F221" s="20" t="s">
        <v>5</v>
      </c>
      <c r="G221" s="20" t="s">
        <v>3</v>
      </c>
      <c r="H221" s="20" t="s">
        <v>7</v>
      </c>
      <c r="I221" s="26" t="s">
        <v>27</v>
      </c>
      <c r="J221" s="28" t="s">
        <v>10</v>
      </c>
      <c r="K221" s="31" t="s">
        <v>8</v>
      </c>
      <c r="L221" s="32" t="s">
        <v>9</v>
      </c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B222" s="60" t="s">
        <v>1089</v>
      </c>
      <c r="C222" s="60" t="s">
        <v>1090</v>
      </c>
      <c r="D222" s="67">
        <v>1.0</v>
      </c>
      <c r="E222" s="67" t="s">
        <v>24</v>
      </c>
      <c r="F222" s="67" t="s">
        <v>186</v>
      </c>
      <c r="G222" s="67">
        <v>36866.0</v>
      </c>
      <c r="H222" s="70" t="s">
        <v>187</v>
      </c>
      <c r="I222" s="70" t="s">
        <v>154</v>
      </c>
      <c r="J222" s="71"/>
      <c r="K222" s="245" t="s">
        <v>737</v>
      </c>
      <c r="L222" s="83" t="s">
        <v>1354</v>
      </c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B223" s="60" t="s">
        <v>1096</v>
      </c>
      <c r="C223" s="60" t="s">
        <v>1097</v>
      </c>
      <c r="D223" s="67">
        <v>2.0</v>
      </c>
      <c r="E223" s="67" t="s">
        <v>83</v>
      </c>
      <c r="F223" s="67" t="s">
        <v>257</v>
      </c>
      <c r="G223" s="67">
        <v>36864.0</v>
      </c>
      <c r="H223" s="70" t="s">
        <v>175</v>
      </c>
      <c r="I223" s="70" t="s">
        <v>175</v>
      </c>
      <c r="J223" s="71"/>
      <c r="K223" s="85"/>
      <c r="L223" s="8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B224" s="60" t="s">
        <v>1103</v>
      </c>
      <c r="C224" s="60" t="s">
        <v>1104</v>
      </c>
      <c r="D224" s="67">
        <v>1.0</v>
      </c>
      <c r="E224" s="67" t="s">
        <v>54</v>
      </c>
      <c r="F224" s="67" t="s">
        <v>118</v>
      </c>
      <c r="G224" s="67">
        <v>36874.0</v>
      </c>
      <c r="H224" s="70" t="s">
        <v>151</v>
      </c>
      <c r="I224" s="70" t="s">
        <v>154</v>
      </c>
      <c r="J224" s="71"/>
      <c r="K224" s="245" t="s">
        <v>1357</v>
      </c>
      <c r="L224" s="83" t="s">
        <v>1358</v>
      </c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B225" s="60" t="s">
        <v>1109</v>
      </c>
      <c r="C225" s="60" t="s">
        <v>1111</v>
      </c>
      <c r="D225" s="67">
        <v>2.0</v>
      </c>
      <c r="E225" s="67" t="s">
        <v>145</v>
      </c>
      <c r="F225" s="67" t="s">
        <v>545</v>
      </c>
      <c r="G225" s="67">
        <v>36872.0</v>
      </c>
      <c r="H225" s="70" t="s">
        <v>175</v>
      </c>
      <c r="I225" s="70" t="s">
        <v>175</v>
      </c>
      <c r="J225" s="71"/>
      <c r="K225" s="85"/>
      <c r="L225" s="8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B226" s="60" t="s">
        <v>710</v>
      </c>
      <c r="C226" s="60" t="s">
        <v>1114</v>
      </c>
      <c r="D226" s="67">
        <v>1.5</v>
      </c>
      <c r="E226" s="67" t="s">
        <v>81</v>
      </c>
      <c r="F226" s="67" t="s">
        <v>645</v>
      </c>
      <c r="G226" s="67">
        <v>36880.0</v>
      </c>
      <c r="H226" s="70" t="s">
        <v>206</v>
      </c>
      <c r="I226" s="70" t="s">
        <v>154</v>
      </c>
      <c r="J226" s="71"/>
      <c r="K226" s="16" t="s">
        <v>553</v>
      </c>
      <c r="L226" s="73" t="s">
        <v>1362</v>
      </c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B227" s="60" t="s">
        <v>1117</v>
      </c>
      <c r="C227" s="60" t="s">
        <v>1118</v>
      </c>
      <c r="D227" s="67">
        <v>1.0</v>
      </c>
      <c r="E227" s="67" t="s">
        <v>71</v>
      </c>
      <c r="F227" s="67" t="s">
        <v>186</v>
      </c>
      <c r="G227" s="67">
        <v>36878.0</v>
      </c>
      <c r="H227" s="70" t="s">
        <v>1230</v>
      </c>
      <c r="I227" s="70" t="s">
        <v>93</v>
      </c>
      <c r="J227" s="71"/>
      <c r="K227" s="245" t="s">
        <v>972</v>
      </c>
      <c r="L227" s="83" t="s">
        <v>1364</v>
      </c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B228" s="60" t="s">
        <v>1122</v>
      </c>
      <c r="C228" s="60" t="s">
        <v>1125</v>
      </c>
      <c r="D228" s="67">
        <v>2.0</v>
      </c>
      <c r="E228" s="67" t="s">
        <v>145</v>
      </c>
      <c r="F228" s="67" t="s">
        <v>656</v>
      </c>
      <c r="G228" s="67">
        <v>36876.0</v>
      </c>
      <c r="H228" s="70" t="s">
        <v>175</v>
      </c>
      <c r="I228" s="70" t="s">
        <v>175</v>
      </c>
      <c r="J228" s="71"/>
      <c r="K228" s="85"/>
      <c r="L228" s="8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B229" s="60" t="s">
        <v>1128</v>
      </c>
      <c r="C229" s="60" t="s">
        <v>1129</v>
      </c>
      <c r="D229" s="67">
        <v>1.0</v>
      </c>
      <c r="E229" s="67" t="s">
        <v>81</v>
      </c>
      <c r="F229" s="67" t="s">
        <v>271</v>
      </c>
      <c r="G229" s="67">
        <v>36882.0</v>
      </c>
      <c r="H229" s="70" t="s">
        <v>187</v>
      </c>
      <c r="I229" s="70" t="s">
        <v>188</v>
      </c>
      <c r="J229" s="71"/>
      <c r="K229" s="245" t="s">
        <v>1130</v>
      </c>
      <c r="L229" s="83" t="s">
        <v>1365</v>
      </c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B230" s="60" t="s">
        <v>1135</v>
      </c>
      <c r="C230" s="60" t="s">
        <v>1136</v>
      </c>
      <c r="D230" s="67">
        <v>2.0</v>
      </c>
      <c r="E230" s="67" t="s">
        <v>54</v>
      </c>
      <c r="F230" s="67" t="s">
        <v>534</v>
      </c>
      <c r="G230" s="67">
        <v>36884.0</v>
      </c>
      <c r="H230" s="70" t="s">
        <v>175</v>
      </c>
      <c r="I230" s="70" t="s">
        <v>175</v>
      </c>
      <c r="J230" s="71"/>
      <c r="K230" s="85"/>
      <c r="L230" s="8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B231" s="60" t="s">
        <v>403</v>
      </c>
      <c r="C231" s="60" t="s">
        <v>404</v>
      </c>
      <c r="D231" s="67">
        <v>2.0</v>
      </c>
      <c r="E231" s="67" t="s">
        <v>83</v>
      </c>
      <c r="F231" s="67" t="s">
        <v>877</v>
      </c>
      <c r="G231" s="67">
        <v>36862.0</v>
      </c>
      <c r="H231" s="70" t="s">
        <v>225</v>
      </c>
      <c r="I231" s="70" t="s">
        <v>93</v>
      </c>
      <c r="J231" s="71"/>
      <c r="K231" s="70" t="s">
        <v>228</v>
      </c>
      <c r="L231" s="73" t="s">
        <v>1367</v>
      </c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B232" s="60" t="s">
        <v>1150</v>
      </c>
      <c r="C232" s="60" t="s">
        <v>1151</v>
      </c>
      <c r="D232" s="67">
        <v>1.0</v>
      </c>
      <c r="E232" s="67" t="s">
        <v>83</v>
      </c>
      <c r="F232" s="67" t="s">
        <v>186</v>
      </c>
      <c r="G232" s="67">
        <v>36858.0</v>
      </c>
      <c r="H232" s="70" t="s">
        <v>187</v>
      </c>
      <c r="I232" s="70" t="s">
        <v>93</v>
      </c>
      <c r="J232" s="71"/>
      <c r="K232" s="80" t="s">
        <v>1153</v>
      </c>
      <c r="L232" s="353" t="s">
        <v>1371</v>
      </c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B233" s="60" t="s">
        <v>1159</v>
      </c>
      <c r="C233" s="60" t="s">
        <v>1160</v>
      </c>
      <c r="D233" s="67">
        <v>2.0</v>
      </c>
      <c r="E233" s="67" t="s">
        <v>81</v>
      </c>
      <c r="F233" s="67" t="s">
        <v>656</v>
      </c>
      <c r="G233" s="67">
        <v>36860.0</v>
      </c>
      <c r="H233" s="70" t="s">
        <v>175</v>
      </c>
      <c r="I233" s="70" t="s">
        <v>175</v>
      </c>
      <c r="J233" s="71"/>
      <c r="K233" s="85"/>
      <c r="L233" s="120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B234" s="60" t="s">
        <v>174</v>
      </c>
      <c r="C234" s="60" t="s">
        <v>1166</v>
      </c>
      <c r="D234" s="67">
        <v>3.0</v>
      </c>
      <c r="E234" s="67" t="s">
        <v>54</v>
      </c>
      <c r="F234" s="67" t="s">
        <v>271</v>
      </c>
      <c r="G234" s="67">
        <v>36886.0</v>
      </c>
      <c r="H234" s="70" t="s">
        <v>206</v>
      </c>
      <c r="I234" s="70" t="s">
        <v>154</v>
      </c>
      <c r="J234" s="71"/>
      <c r="K234" s="70" t="s">
        <v>561</v>
      </c>
      <c r="L234" s="73" t="s">
        <v>1379</v>
      </c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B235" s="60" t="s">
        <v>1176</v>
      </c>
      <c r="C235" s="60" t="s">
        <v>1177</v>
      </c>
      <c r="D235" s="67">
        <v>1.0</v>
      </c>
      <c r="E235" s="67" t="s">
        <v>54</v>
      </c>
      <c r="F235" s="67" t="s">
        <v>186</v>
      </c>
      <c r="G235" s="67">
        <v>36870.0</v>
      </c>
      <c r="H235" s="70" t="s">
        <v>215</v>
      </c>
      <c r="I235" s="70" t="s">
        <v>154</v>
      </c>
      <c r="J235" s="71"/>
      <c r="K235" s="245" t="s">
        <v>1380</v>
      </c>
      <c r="L235" s="83" t="s">
        <v>1381</v>
      </c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129"/>
      <c r="B236" s="60" t="s">
        <v>1184</v>
      </c>
      <c r="C236" s="60" t="s">
        <v>1186</v>
      </c>
      <c r="D236" s="67">
        <v>2.0</v>
      </c>
      <c r="E236" s="67" t="s">
        <v>83</v>
      </c>
      <c r="F236" s="67" t="s">
        <v>534</v>
      </c>
      <c r="G236" s="67">
        <v>36868.0</v>
      </c>
      <c r="H236" s="70" t="s">
        <v>175</v>
      </c>
      <c r="I236" s="70" t="s">
        <v>175</v>
      </c>
      <c r="J236" s="71"/>
      <c r="K236" s="85"/>
      <c r="L236" s="8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129"/>
      <c r="B237" s="131" t="s">
        <v>167</v>
      </c>
      <c r="C237" s="13"/>
      <c r="D237" s="132">
        <f>SUM(D222:D236)</f>
        <v>24.5</v>
      </c>
      <c r="E237" s="131" t="s">
        <v>167</v>
      </c>
      <c r="F237" s="13"/>
      <c r="G237" s="13"/>
      <c r="H237" s="13"/>
      <c r="I237" s="13"/>
      <c r="J237" s="13"/>
      <c r="K237" s="13"/>
      <c r="L237" s="18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129"/>
      <c r="B238" s="5"/>
      <c r="C238" s="5"/>
      <c r="D238" s="5"/>
      <c r="E238" s="5"/>
      <c r="F238" s="5"/>
      <c r="G238" s="5"/>
      <c r="H238" s="5"/>
      <c r="I238" s="5"/>
      <c r="J238" s="5"/>
      <c r="K238" s="92"/>
      <c r="L238" s="13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38" t="str">
        <f>B239</f>
        <v>IT 206</v>
      </c>
      <c r="B239" s="42" t="s">
        <v>1383</v>
      </c>
      <c r="C239" s="13"/>
      <c r="D239" s="13"/>
      <c r="E239" s="13"/>
      <c r="F239" s="13"/>
      <c r="G239" s="13"/>
      <c r="H239" s="13"/>
      <c r="I239" s="13"/>
      <c r="J239" s="13"/>
      <c r="K239" s="13"/>
      <c r="L239" s="18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B240" s="20" t="s">
        <v>1</v>
      </c>
      <c r="C240" s="20" t="s">
        <v>2</v>
      </c>
      <c r="D240" s="20" t="s">
        <v>6</v>
      </c>
      <c r="E240" s="20" t="s">
        <v>4</v>
      </c>
      <c r="F240" s="20" t="s">
        <v>5</v>
      </c>
      <c r="G240" s="20" t="s">
        <v>3</v>
      </c>
      <c r="H240" s="20" t="s">
        <v>7</v>
      </c>
      <c r="I240" s="26" t="s">
        <v>27</v>
      </c>
      <c r="J240" s="28" t="s">
        <v>10</v>
      </c>
      <c r="K240" s="31" t="s">
        <v>8</v>
      </c>
      <c r="L240" s="32" t="s">
        <v>9</v>
      </c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B241" s="60" t="s">
        <v>1089</v>
      </c>
      <c r="C241" s="60" t="s">
        <v>1090</v>
      </c>
      <c r="D241" s="67">
        <v>1.0</v>
      </c>
      <c r="E241" s="67" t="s">
        <v>24</v>
      </c>
      <c r="F241" s="67" t="s">
        <v>118</v>
      </c>
      <c r="G241" s="67">
        <v>36890.0</v>
      </c>
      <c r="H241" s="70" t="s">
        <v>187</v>
      </c>
      <c r="I241" s="70" t="s">
        <v>154</v>
      </c>
      <c r="J241" s="71"/>
      <c r="K241" s="245" t="s">
        <v>737</v>
      </c>
      <c r="L241" s="83" t="s">
        <v>1387</v>
      </c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B242" s="60" t="s">
        <v>1096</v>
      </c>
      <c r="C242" s="60" t="s">
        <v>1097</v>
      </c>
      <c r="D242" s="67">
        <v>2.0</v>
      </c>
      <c r="E242" s="67" t="s">
        <v>83</v>
      </c>
      <c r="F242" s="67" t="s">
        <v>545</v>
      </c>
      <c r="G242" s="67">
        <v>36888.0</v>
      </c>
      <c r="H242" s="70" t="s">
        <v>175</v>
      </c>
      <c r="I242" s="70" t="s">
        <v>175</v>
      </c>
      <c r="J242" s="71"/>
      <c r="K242" s="85"/>
      <c r="L242" s="8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B243" s="60" t="s">
        <v>1103</v>
      </c>
      <c r="C243" s="60" t="s">
        <v>1104</v>
      </c>
      <c r="D243" s="67">
        <v>1.0</v>
      </c>
      <c r="E243" s="67" t="s">
        <v>54</v>
      </c>
      <c r="F243" s="67" t="s">
        <v>186</v>
      </c>
      <c r="G243" s="67">
        <v>36904.0</v>
      </c>
      <c r="H243" s="70" t="s">
        <v>151</v>
      </c>
      <c r="I243" s="70" t="s">
        <v>154</v>
      </c>
      <c r="J243" s="71"/>
      <c r="K243" s="245" t="s">
        <v>1357</v>
      </c>
      <c r="L243" s="83" t="s">
        <v>1390</v>
      </c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B244" s="60" t="s">
        <v>1109</v>
      </c>
      <c r="C244" s="60" t="s">
        <v>1111</v>
      </c>
      <c r="D244" s="67">
        <v>2.0</v>
      </c>
      <c r="E244" s="67" t="s">
        <v>145</v>
      </c>
      <c r="F244" s="67" t="s">
        <v>656</v>
      </c>
      <c r="G244" s="67">
        <v>36902.0</v>
      </c>
      <c r="H244" s="70" t="s">
        <v>175</v>
      </c>
      <c r="I244" s="70" t="s">
        <v>175</v>
      </c>
      <c r="J244" s="71"/>
      <c r="K244" s="85"/>
      <c r="L244" s="8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B245" s="60" t="s">
        <v>710</v>
      </c>
      <c r="C245" s="60" t="s">
        <v>1114</v>
      </c>
      <c r="D245" s="67">
        <v>1.5</v>
      </c>
      <c r="E245" s="67" t="s">
        <v>24</v>
      </c>
      <c r="F245" s="67" t="s">
        <v>863</v>
      </c>
      <c r="G245" s="67">
        <v>36912.0</v>
      </c>
      <c r="H245" s="70" t="s">
        <v>206</v>
      </c>
      <c r="I245" s="70" t="s">
        <v>154</v>
      </c>
      <c r="J245" s="71"/>
      <c r="K245" s="16" t="s">
        <v>367</v>
      </c>
      <c r="L245" s="325" t="s">
        <v>1392</v>
      </c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B246" s="60" t="s">
        <v>1117</v>
      </c>
      <c r="C246" s="60" t="s">
        <v>1118</v>
      </c>
      <c r="D246" s="67">
        <v>1.0</v>
      </c>
      <c r="E246" s="67" t="s">
        <v>54</v>
      </c>
      <c r="F246" s="67" t="s">
        <v>271</v>
      </c>
      <c r="G246" s="67">
        <v>36916.0</v>
      </c>
      <c r="H246" s="70" t="s">
        <v>1230</v>
      </c>
      <c r="I246" s="70" t="s">
        <v>154</v>
      </c>
      <c r="J246" s="71"/>
      <c r="K246" s="376" t="s">
        <v>1393</v>
      </c>
      <c r="L246" s="377" t="s">
        <v>1394</v>
      </c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B247" s="60" t="s">
        <v>1122</v>
      </c>
      <c r="C247" s="60" t="s">
        <v>1125</v>
      </c>
      <c r="D247" s="67">
        <v>2.0</v>
      </c>
      <c r="E247" s="67" t="s">
        <v>24</v>
      </c>
      <c r="F247" s="67" t="s">
        <v>534</v>
      </c>
      <c r="G247" s="67">
        <v>36914.0</v>
      </c>
      <c r="H247" s="70" t="s">
        <v>175</v>
      </c>
      <c r="I247" s="70" t="s">
        <v>175</v>
      </c>
      <c r="J247" s="71"/>
      <c r="K247" s="378"/>
      <c r="L247" s="379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B248" s="60" t="s">
        <v>1128</v>
      </c>
      <c r="C248" s="60" t="s">
        <v>1129</v>
      </c>
      <c r="D248" s="67">
        <v>1.0</v>
      </c>
      <c r="E248" s="67" t="s">
        <v>81</v>
      </c>
      <c r="F248" s="67" t="s">
        <v>186</v>
      </c>
      <c r="G248" s="67">
        <v>36906.0</v>
      </c>
      <c r="H248" s="70" t="s">
        <v>187</v>
      </c>
      <c r="I248" s="70" t="s">
        <v>154</v>
      </c>
      <c r="J248" s="71"/>
      <c r="K248" s="245"/>
      <c r="L248" s="380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B249" s="60" t="s">
        <v>1135</v>
      </c>
      <c r="C249" s="60" t="s">
        <v>1136</v>
      </c>
      <c r="D249" s="67">
        <v>2.0</v>
      </c>
      <c r="E249" s="67" t="s">
        <v>54</v>
      </c>
      <c r="F249" s="67" t="s">
        <v>500</v>
      </c>
      <c r="G249" s="67">
        <v>36908.0</v>
      </c>
      <c r="H249" s="70" t="s">
        <v>175</v>
      </c>
      <c r="I249" s="70" t="s">
        <v>175</v>
      </c>
      <c r="J249" s="71"/>
      <c r="K249" s="85"/>
      <c r="L249" s="8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B250" s="60" t="s">
        <v>403</v>
      </c>
      <c r="C250" s="60" t="s">
        <v>404</v>
      </c>
      <c r="D250" s="67">
        <v>2.0</v>
      </c>
      <c r="E250" s="67" t="s">
        <v>83</v>
      </c>
      <c r="F250" s="67" t="s">
        <v>349</v>
      </c>
      <c r="G250" s="67">
        <v>36896.0</v>
      </c>
      <c r="H250" s="70" t="s">
        <v>225</v>
      </c>
      <c r="I250" s="70" t="s">
        <v>93</v>
      </c>
      <c r="J250" s="71"/>
      <c r="K250" s="70" t="s">
        <v>228</v>
      </c>
      <c r="L250" s="73" t="s">
        <v>1400</v>
      </c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B251" s="60" t="s">
        <v>1150</v>
      </c>
      <c r="C251" s="60" t="s">
        <v>1151</v>
      </c>
      <c r="D251" s="67">
        <v>1.0</v>
      </c>
      <c r="E251" s="67" t="s">
        <v>83</v>
      </c>
      <c r="F251" s="67" t="s">
        <v>118</v>
      </c>
      <c r="G251" s="67">
        <v>36892.0</v>
      </c>
      <c r="H251" s="70" t="s">
        <v>187</v>
      </c>
      <c r="I251" s="70" t="s">
        <v>93</v>
      </c>
      <c r="J251" s="71"/>
      <c r="K251" s="80" t="s">
        <v>1153</v>
      </c>
      <c r="L251" s="353" t="s">
        <v>1401</v>
      </c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B252" s="60" t="s">
        <v>1159</v>
      </c>
      <c r="C252" s="60" t="s">
        <v>1160</v>
      </c>
      <c r="D252" s="67">
        <v>2.0</v>
      </c>
      <c r="E252" s="67" t="s">
        <v>24</v>
      </c>
      <c r="F252" s="67" t="s">
        <v>500</v>
      </c>
      <c r="G252" s="67">
        <v>36894.0</v>
      </c>
      <c r="H252" s="70" t="s">
        <v>175</v>
      </c>
      <c r="I252" s="70" t="s">
        <v>175</v>
      </c>
      <c r="J252" s="71"/>
      <c r="K252" s="85"/>
      <c r="L252" s="120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B253" s="60" t="s">
        <v>174</v>
      </c>
      <c r="C253" s="60" t="s">
        <v>1166</v>
      </c>
      <c r="D253" s="67">
        <v>3.0</v>
      </c>
      <c r="E253" s="67" t="s">
        <v>24</v>
      </c>
      <c r="F253" s="67" t="s">
        <v>186</v>
      </c>
      <c r="G253" s="67">
        <v>36910.0</v>
      </c>
      <c r="H253" s="70" t="s">
        <v>215</v>
      </c>
      <c r="I253" s="70" t="s">
        <v>154</v>
      </c>
      <c r="J253" s="71"/>
      <c r="K253" s="70" t="s">
        <v>1403</v>
      </c>
      <c r="L253" s="381" t="s">
        <v>1404</v>
      </c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B254" s="60" t="s">
        <v>1176</v>
      </c>
      <c r="C254" s="60" t="s">
        <v>1177</v>
      </c>
      <c r="D254" s="67">
        <v>1.0</v>
      </c>
      <c r="E254" s="67" t="s">
        <v>54</v>
      </c>
      <c r="F254" s="67" t="s">
        <v>118</v>
      </c>
      <c r="G254" s="67">
        <v>36900.0</v>
      </c>
      <c r="H254" s="70" t="s">
        <v>215</v>
      </c>
      <c r="I254" s="70" t="s">
        <v>154</v>
      </c>
      <c r="J254" s="71"/>
      <c r="K254" s="245" t="s">
        <v>1380</v>
      </c>
      <c r="L254" s="83" t="s">
        <v>1407</v>
      </c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129"/>
      <c r="B255" s="60" t="s">
        <v>1184</v>
      </c>
      <c r="C255" s="60" t="s">
        <v>1186</v>
      </c>
      <c r="D255" s="67">
        <v>2.0</v>
      </c>
      <c r="E255" s="67" t="s">
        <v>83</v>
      </c>
      <c r="F255" s="67" t="s">
        <v>500</v>
      </c>
      <c r="G255" s="67">
        <v>36898.0</v>
      </c>
      <c r="H255" s="70" t="s">
        <v>175</v>
      </c>
      <c r="I255" s="70" t="s">
        <v>175</v>
      </c>
      <c r="J255" s="71"/>
      <c r="K255" s="85"/>
      <c r="L255" s="8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129"/>
      <c r="B256" s="131" t="s">
        <v>167</v>
      </c>
      <c r="C256" s="13"/>
      <c r="D256" s="132">
        <f>SUM(D241:D255)</f>
        <v>24.5</v>
      </c>
      <c r="E256" s="131" t="s">
        <v>167</v>
      </c>
      <c r="F256" s="13"/>
      <c r="G256" s="13"/>
      <c r="H256" s="13"/>
      <c r="I256" s="13"/>
      <c r="J256" s="13"/>
      <c r="K256" s="13"/>
      <c r="L256" s="18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129"/>
      <c r="B257" s="5"/>
      <c r="C257" s="5"/>
      <c r="D257" s="5"/>
      <c r="E257" s="5"/>
      <c r="F257" s="5"/>
      <c r="G257" s="5"/>
      <c r="H257" s="5"/>
      <c r="I257" s="5"/>
      <c r="J257" s="5"/>
      <c r="K257" s="92"/>
      <c r="L257" s="13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38" t="str">
        <f>B258</f>
        <v>IT 207</v>
      </c>
      <c r="B258" s="42" t="s">
        <v>1411</v>
      </c>
      <c r="C258" s="13"/>
      <c r="D258" s="13"/>
      <c r="E258" s="13"/>
      <c r="F258" s="13"/>
      <c r="G258" s="13"/>
      <c r="H258" s="13"/>
      <c r="I258" s="13"/>
      <c r="J258" s="13"/>
      <c r="K258" s="13"/>
      <c r="L258" s="18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B259" s="20" t="s">
        <v>1</v>
      </c>
      <c r="C259" s="20" t="s">
        <v>2</v>
      </c>
      <c r="D259" s="20" t="s">
        <v>6</v>
      </c>
      <c r="E259" s="20" t="s">
        <v>4</v>
      </c>
      <c r="F259" s="20" t="s">
        <v>5</v>
      </c>
      <c r="G259" s="20" t="s">
        <v>3</v>
      </c>
      <c r="H259" s="20" t="s">
        <v>7</v>
      </c>
      <c r="I259" s="26" t="s">
        <v>27</v>
      </c>
      <c r="J259" s="28" t="s">
        <v>10</v>
      </c>
      <c r="K259" s="31" t="s">
        <v>8</v>
      </c>
      <c r="L259" s="32" t="s">
        <v>9</v>
      </c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B260" s="60" t="s">
        <v>1089</v>
      </c>
      <c r="C260" s="60" t="s">
        <v>1090</v>
      </c>
      <c r="D260" s="67">
        <v>1.0</v>
      </c>
      <c r="E260" s="67" t="s">
        <v>24</v>
      </c>
      <c r="F260" s="67" t="s">
        <v>271</v>
      </c>
      <c r="G260" s="67">
        <v>36920.0</v>
      </c>
      <c r="H260" s="70" t="s">
        <v>187</v>
      </c>
      <c r="I260" s="70" t="s">
        <v>154</v>
      </c>
      <c r="J260" s="71"/>
      <c r="K260" s="245" t="s">
        <v>737</v>
      </c>
      <c r="L260" s="83" t="s">
        <v>1418</v>
      </c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B261" s="60" t="s">
        <v>1096</v>
      </c>
      <c r="C261" s="60" t="s">
        <v>1097</v>
      </c>
      <c r="D261" s="67">
        <v>2.0</v>
      </c>
      <c r="E261" s="67" t="s">
        <v>83</v>
      </c>
      <c r="F261" s="67" t="s">
        <v>656</v>
      </c>
      <c r="G261" s="67">
        <v>36918.0</v>
      </c>
      <c r="H261" s="70" t="s">
        <v>175</v>
      </c>
      <c r="I261" s="70" t="s">
        <v>175</v>
      </c>
      <c r="J261" s="71"/>
      <c r="K261" s="85"/>
      <c r="L261" s="8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B262" s="60" t="s">
        <v>1103</v>
      </c>
      <c r="C262" s="60" t="s">
        <v>1104</v>
      </c>
      <c r="D262" s="67">
        <v>1.0</v>
      </c>
      <c r="E262" s="67" t="s">
        <v>54</v>
      </c>
      <c r="F262" s="67" t="s">
        <v>82</v>
      </c>
      <c r="G262" s="67">
        <v>36936.0</v>
      </c>
      <c r="H262" s="70" t="s">
        <v>151</v>
      </c>
      <c r="I262" s="70" t="s">
        <v>154</v>
      </c>
      <c r="J262" s="71"/>
      <c r="K262" s="245" t="s">
        <v>1357</v>
      </c>
      <c r="L262" s="83" t="s">
        <v>1422</v>
      </c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B263" s="60" t="s">
        <v>1109</v>
      </c>
      <c r="C263" s="60" t="s">
        <v>1111</v>
      </c>
      <c r="D263" s="67">
        <v>2.0</v>
      </c>
      <c r="E263" s="67" t="s">
        <v>81</v>
      </c>
      <c r="F263" s="67" t="s">
        <v>545</v>
      </c>
      <c r="G263" s="67">
        <v>36934.0</v>
      </c>
      <c r="H263" s="70" t="s">
        <v>175</v>
      </c>
      <c r="I263" s="70" t="s">
        <v>175</v>
      </c>
      <c r="J263" s="71"/>
      <c r="K263" s="85"/>
      <c r="L263" s="8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B264" s="60" t="s">
        <v>710</v>
      </c>
      <c r="C264" s="60" t="s">
        <v>1114</v>
      </c>
      <c r="D264" s="67">
        <v>1.5</v>
      </c>
      <c r="E264" s="67" t="s">
        <v>83</v>
      </c>
      <c r="F264" s="67" t="s">
        <v>645</v>
      </c>
      <c r="G264" s="67">
        <v>36922.0</v>
      </c>
      <c r="H264" s="70" t="s">
        <v>206</v>
      </c>
      <c r="I264" s="70" t="s">
        <v>93</v>
      </c>
      <c r="J264" s="71"/>
      <c r="K264" s="16" t="s">
        <v>104</v>
      </c>
      <c r="L264" s="312" t="s">
        <v>1426</v>
      </c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B265" s="60" t="s">
        <v>1117</v>
      </c>
      <c r="C265" s="60" t="s">
        <v>1118</v>
      </c>
      <c r="D265" s="67">
        <v>1.0</v>
      </c>
      <c r="E265" s="67" t="s">
        <v>54</v>
      </c>
      <c r="F265" s="67" t="s">
        <v>186</v>
      </c>
      <c r="G265" s="67">
        <v>36944.0</v>
      </c>
      <c r="H265" s="70" t="s">
        <v>1230</v>
      </c>
      <c r="I265" s="70" t="s">
        <v>154</v>
      </c>
      <c r="J265" s="71"/>
      <c r="K265" s="245" t="s">
        <v>1393</v>
      </c>
      <c r="L265" s="242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B266" s="60" t="s">
        <v>1122</v>
      </c>
      <c r="C266" s="60" t="s">
        <v>1125</v>
      </c>
      <c r="D266" s="67">
        <v>2.0</v>
      </c>
      <c r="E266" s="67" t="s">
        <v>24</v>
      </c>
      <c r="F266" s="67" t="s">
        <v>500</v>
      </c>
      <c r="G266" s="67">
        <v>36942.0</v>
      </c>
      <c r="H266" s="70" t="s">
        <v>175</v>
      </c>
      <c r="I266" s="70" t="s">
        <v>175</v>
      </c>
      <c r="J266" s="71"/>
      <c r="K266" s="85"/>
      <c r="L266" s="351" t="s">
        <v>1430</v>
      </c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B267" s="60" t="s">
        <v>1128</v>
      </c>
      <c r="C267" s="60" t="s">
        <v>1129</v>
      </c>
      <c r="D267" s="67">
        <v>1.0</v>
      </c>
      <c r="E267" s="67" t="s">
        <v>81</v>
      </c>
      <c r="F267" s="67" t="s">
        <v>118</v>
      </c>
      <c r="G267" s="67">
        <v>36938.0</v>
      </c>
      <c r="H267" s="70" t="s">
        <v>187</v>
      </c>
      <c r="I267" s="70" t="s">
        <v>154</v>
      </c>
      <c r="J267" s="71"/>
      <c r="K267" s="245"/>
      <c r="L267" s="380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B268" s="60" t="s">
        <v>1135</v>
      </c>
      <c r="C268" s="60" t="s">
        <v>1136</v>
      </c>
      <c r="D268" s="67">
        <v>2.0</v>
      </c>
      <c r="E268" s="67" t="s">
        <v>24</v>
      </c>
      <c r="F268" s="67" t="s">
        <v>656</v>
      </c>
      <c r="G268" s="67">
        <v>36940.0</v>
      </c>
      <c r="H268" s="70" t="s">
        <v>175</v>
      </c>
      <c r="I268" s="70" t="s">
        <v>175</v>
      </c>
      <c r="J268" s="71"/>
      <c r="K268" s="85"/>
      <c r="L268" s="8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B269" s="60" t="s">
        <v>403</v>
      </c>
      <c r="C269" s="60" t="s">
        <v>404</v>
      </c>
      <c r="D269" s="67">
        <v>2.0</v>
      </c>
      <c r="E269" s="67" t="s">
        <v>83</v>
      </c>
      <c r="F269" s="67" t="s">
        <v>1431</v>
      </c>
      <c r="G269" s="67">
        <v>36928.0</v>
      </c>
      <c r="H269" s="70" t="s">
        <v>225</v>
      </c>
      <c r="I269" s="70" t="s">
        <v>93</v>
      </c>
      <c r="J269" s="71"/>
      <c r="K269" s="70" t="s">
        <v>228</v>
      </c>
      <c r="L269" s="73" t="s">
        <v>1432</v>
      </c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B270" s="60" t="s">
        <v>1150</v>
      </c>
      <c r="C270" s="60" t="s">
        <v>1151</v>
      </c>
      <c r="D270" s="67">
        <v>1.0</v>
      </c>
      <c r="E270" s="67" t="s">
        <v>83</v>
      </c>
      <c r="F270" s="67" t="s">
        <v>271</v>
      </c>
      <c r="G270" s="67">
        <v>36924.0</v>
      </c>
      <c r="H270" s="70" t="s">
        <v>187</v>
      </c>
      <c r="I270" s="70" t="s">
        <v>93</v>
      </c>
      <c r="J270" s="71"/>
      <c r="K270" s="80" t="s">
        <v>1153</v>
      </c>
      <c r="L270" s="353" t="s">
        <v>1434</v>
      </c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B271" s="60" t="s">
        <v>1159</v>
      </c>
      <c r="C271" s="60" t="s">
        <v>1160</v>
      </c>
      <c r="D271" s="67">
        <v>2.0</v>
      </c>
      <c r="E271" s="67" t="s">
        <v>24</v>
      </c>
      <c r="F271" s="67" t="s">
        <v>534</v>
      </c>
      <c r="G271" s="67">
        <v>36926.0</v>
      </c>
      <c r="H271" s="70" t="s">
        <v>175</v>
      </c>
      <c r="I271" s="70" t="s">
        <v>175</v>
      </c>
      <c r="J271" s="71"/>
      <c r="K271" s="85"/>
      <c r="L271" s="120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B272" s="60" t="s">
        <v>174</v>
      </c>
      <c r="C272" s="60" t="s">
        <v>1166</v>
      </c>
      <c r="D272" s="67">
        <v>3.0</v>
      </c>
      <c r="E272" s="67" t="s">
        <v>54</v>
      </c>
      <c r="F272" s="67" t="s">
        <v>118</v>
      </c>
      <c r="G272" s="67">
        <v>36946.0</v>
      </c>
      <c r="H272" s="70" t="s">
        <v>74</v>
      </c>
      <c r="I272" s="70" t="s">
        <v>154</v>
      </c>
      <c r="J272" s="71"/>
      <c r="K272" s="70" t="s">
        <v>561</v>
      </c>
      <c r="L272" s="73" t="s">
        <v>1436</v>
      </c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B273" s="60" t="s">
        <v>1176</v>
      </c>
      <c r="C273" s="60" t="s">
        <v>1177</v>
      </c>
      <c r="D273" s="67">
        <v>1.0</v>
      </c>
      <c r="E273" s="67" t="s">
        <v>54</v>
      </c>
      <c r="F273" s="67" t="s">
        <v>271</v>
      </c>
      <c r="G273" s="67">
        <v>36932.0</v>
      </c>
      <c r="H273" s="70" t="s">
        <v>215</v>
      </c>
      <c r="I273" s="70" t="s">
        <v>154</v>
      </c>
      <c r="J273" s="71"/>
      <c r="K273" s="245" t="s">
        <v>1380</v>
      </c>
      <c r="L273" s="83" t="s">
        <v>1438</v>
      </c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129"/>
      <c r="B274" s="60" t="s">
        <v>1184</v>
      </c>
      <c r="C274" s="60" t="s">
        <v>1186</v>
      </c>
      <c r="D274" s="67">
        <v>2.0</v>
      </c>
      <c r="E274" s="67" t="s">
        <v>145</v>
      </c>
      <c r="F274" s="67" t="s">
        <v>500</v>
      </c>
      <c r="G274" s="67">
        <v>36930.0</v>
      </c>
      <c r="H274" s="70" t="s">
        <v>175</v>
      </c>
      <c r="I274" s="70" t="s">
        <v>175</v>
      </c>
      <c r="J274" s="71"/>
      <c r="K274" s="85"/>
      <c r="L274" s="8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129"/>
      <c r="B275" s="131" t="s">
        <v>167</v>
      </c>
      <c r="C275" s="13"/>
      <c r="D275" s="132">
        <f>SUM(D260:D274)</f>
        <v>24.5</v>
      </c>
      <c r="E275" s="131" t="s">
        <v>167</v>
      </c>
      <c r="F275" s="13"/>
      <c r="G275" s="13"/>
      <c r="H275" s="13"/>
      <c r="I275" s="13"/>
      <c r="J275" s="13"/>
      <c r="K275" s="13"/>
      <c r="L275" s="18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129"/>
      <c r="B276" s="5"/>
      <c r="C276" s="5"/>
      <c r="D276" s="5"/>
      <c r="E276" s="5"/>
      <c r="F276" s="5"/>
      <c r="G276" s="5"/>
      <c r="H276" s="5"/>
      <c r="I276" s="5"/>
      <c r="J276" s="5"/>
      <c r="K276" s="92"/>
      <c r="L276" s="13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38" t="str">
        <f>B277</f>
        <v>IT 208</v>
      </c>
      <c r="B277" s="42" t="s">
        <v>1446</v>
      </c>
      <c r="C277" s="13"/>
      <c r="D277" s="13"/>
      <c r="E277" s="13"/>
      <c r="F277" s="13"/>
      <c r="G277" s="13"/>
      <c r="H277" s="13"/>
      <c r="I277" s="13"/>
      <c r="J277" s="13"/>
      <c r="K277" s="13"/>
      <c r="L277" s="18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B278" s="20" t="s">
        <v>1</v>
      </c>
      <c r="C278" s="20" t="s">
        <v>2</v>
      </c>
      <c r="D278" s="20" t="s">
        <v>6</v>
      </c>
      <c r="E278" s="20" t="s">
        <v>4</v>
      </c>
      <c r="F278" s="20" t="s">
        <v>5</v>
      </c>
      <c r="G278" s="20" t="s">
        <v>3</v>
      </c>
      <c r="H278" s="20" t="s">
        <v>7</v>
      </c>
      <c r="I278" s="26" t="s">
        <v>27</v>
      </c>
      <c r="J278" s="28" t="s">
        <v>10</v>
      </c>
      <c r="K278" s="31" t="s">
        <v>8</v>
      </c>
      <c r="L278" s="32" t="s">
        <v>9</v>
      </c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B279" s="60" t="s">
        <v>1089</v>
      </c>
      <c r="C279" s="60" t="s">
        <v>1090</v>
      </c>
      <c r="D279" s="67">
        <v>1.0</v>
      </c>
      <c r="E279" s="67" t="s">
        <v>24</v>
      </c>
      <c r="F279" s="67" t="s">
        <v>82</v>
      </c>
      <c r="G279" s="67">
        <v>36950.0</v>
      </c>
      <c r="H279" s="70" t="s">
        <v>187</v>
      </c>
      <c r="I279" s="70" t="s">
        <v>154</v>
      </c>
      <c r="J279" s="71"/>
      <c r="K279" s="245" t="s">
        <v>737</v>
      </c>
      <c r="L279" s="83" t="s">
        <v>1449</v>
      </c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B280" s="60" t="s">
        <v>1096</v>
      </c>
      <c r="C280" s="60" t="s">
        <v>1097</v>
      </c>
      <c r="D280" s="67">
        <v>2.0</v>
      </c>
      <c r="E280" s="67" t="s">
        <v>83</v>
      </c>
      <c r="F280" s="67" t="s">
        <v>1452</v>
      </c>
      <c r="G280" s="67">
        <v>36948.0</v>
      </c>
      <c r="H280" s="70" t="s">
        <v>175</v>
      </c>
      <c r="I280" s="70" t="s">
        <v>175</v>
      </c>
      <c r="J280" s="71"/>
      <c r="K280" s="85"/>
      <c r="L280" s="8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B281" s="60" t="s">
        <v>1103</v>
      </c>
      <c r="C281" s="60" t="s">
        <v>1104</v>
      </c>
      <c r="D281" s="67">
        <v>1.0</v>
      </c>
      <c r="E281" s="67" t="s">
        <v>54</v>
      </c>
      <c r="F281" s="67" t="s">
        <v>271</v>
      </c>
      <c r="G281" s="67">
        <v>36964.0</v>
      </c>
      <c r="H281" s="70" t="s">
        <v>151</v>
      </c>
      <c r="I281" s="70" t="s">
        <v>154</v>
      </c>
      <c r="J281" s="71"/>
      <c r="K281" s="245" t="s">
        <v>1357</v>
      </c>
      <c r="L281" s="83" t="s">
        <v>1454</v>
      </c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B282" s="60" t="s">
        <v>1109</v>
      </c>
      <c r="C282" s="60" t="s">
        <v>1111</v>
      </c>
      <c r="D282" s="67">
        <v>2.0</v>
      </c>
      <c r="E282" s="67" t="s">
        <v>81</v>
      </c>
      <c r="F282" s="67" t="s">
        <v>656</v>
      </c>
      <c r="G282" s="67">
        <v>36962.0</v>
      </c>
      <c r="H282" s="70" t="s">
        <v>175</v>
      </c>
      <c r="I282" s="70" t="s">
        <v>175</v>
      </c>
      <c r="J282" s="71"/>
      <c r="K282" s="85"/>
      <c r="L282" s="8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B283" s="60" t="s">
        <v>710</v>
      </c>
      <c r="C283" s="60" t="s">
        <v>1114</v>
      </c>
      <c r="D283" s="67">
        <v>1.5</v>
      </c>
      <c r="E283" s="67" t="s">
        <v>83</v>
      </c>
      <c r="F283" s="67" t="s">
        <v>523</v>
      </c>
      <c r="G283" s="67">
        <v>36952.0</v>
      </c>
      <c r="H283" s="70" t="s">
        <v>206</v>
      </c>
      <c r="I283" s="70" t="s">
        <v>93</v>
      </c>
      <c r="J283" s="71"/>
      <c r="K283" s="16" t="s">
        <v>367</v>
      </c>
      <c r="L283" s="155" t="s">
        <v>1455</v>
      </c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B284" s="60" t="s">
        <v>1117</v>
      </c>
      <c r="C284" s="60" t="s">
        <v>1118</v>
      </c>
      <c r="D284" s="67">
        <v>1.0</v>
      </c>
      <c r="E284" s="67" t="s">
        <v>54</v>
      </c>
      <c r="F284" s="67" t="s">
        <v>118</v>
      </c>
      <c r="G284" s="67">
        <v>36974.0</v>
      </c>
      <c r="H284" s="70" t="s">
        <v>1230</v>
      </c>
      <c r="I284" s="70" t="s">
        <v>154</v>
      </c>
      <c r="J284" s="71"/>
      <c r="K284" s="245" t="s">
        <v>1393</v>
      </c>
      <c r="L284" s="390" t="s">
        <v>1457</v>
      </c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B285" s="60" t="s">
        <v>1122</v>
      </c>
      <c r="C285" s="60" t="s">
        <v>1125</v>
      </c>
      <c r="D285" s="67">
        <v>2.0</v>
      </c>
      <c r="E285" s="391" t="s">
        <v>24</v>
      </c>
      <c r="F285" s="391" t="s">
        <v>1452</v>
      </c>
      <c r="G285" s="67">
        <v>36972.0</v>
      </c>
      <c r="H285" s="70" t="s">
        <v>175</v>
      </c>
      <c r="I285" s="70" t="s">
        <v>175</v>
      </c>
      <c r="J285" s="71" t="s">
        <v>1458</v>
      </c>
      <c r="K285" s="85"/>
      <c r="L285" s="379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B286" s="60" t="s">
        <v>1128</v>
      </c>
      <c r="C286" s="60" t="s">
        <v>1129</v>
      </c>
      <c r="D286" s="67">
        <v>1.0</v>
      </c>
      <c r="E286" s="391" t="s">
        <v>81</v>
      </c>
      <c r="F286" s="391" t="s">
        <v>82</v>
      </c>
      <c r="G286" s="67">
        <v>36968.0</v>
      </c>
      <c r="H286" s="70" t="s">
        <v>187</v>
      </c>
      <c r="I286" s="70" t="s">
        <v>154</v>
      </c>
      <c r="J286" s="71" t="s">
        <v>1460</v>
      </c>
      <c r="K286" s="245" t="s">
        <v>1336</v>
      </c>
      <c r="L286" s="83" t="s">
        <v>1461</v>
      </c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B287" s="60" t="s">
        <v>1135</v>
      </c>
      <c r="C287" s="60" t="s">
        <v>1136</v>
      </c>
      <c r="D287" s="67">
        <v>2.0</v>
      </c>
      <c r="E287" s="67" t="s">
        <v>24</v>
      </c>
      <c r="F287" s="391" t="s">
        <v>545</v>
      </c>
      <c r="G287" s="67">
        <v>36970.0</v>
      </c>
      <c r="H287" s="70" t="s">
        <v>175</v>
      </c>
      <c r="I287" s="70" t="s">
        <v>175</v>
      </c>
      <c r="J287" s="71" t="s">
        <v>405</v>
      </c>
      <c r="K287" s="85"/>
      <c r="L287" s="8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B288" s="60" t="s">
        <v>403</v>
      </c>
      <c r="C288" s="60" t="s">
        <v>404</v>
      </c>
      <c r="D288" s="67">
        <v>2.0</v>
      </c>
      <c r="E288" s="67" t="s">
        <v>81</v>
      </c>
      <c r="F288" s="67" t="s">
        <v>349</v>
      </c>
      <c r="G288" s="67">
        <v>36966.0</v>
      </c>
      <c r="H288" s="70" t="s">
        <v>225</v>
      </c>
      <c r="I288" s="70" t="s">
        <v>154</v>
      </c>
      <c r="J288" s="71"/>
      <c r="K288" s="70" t="s">
        <v>228</v>
      </c>
      <c r="L288" s="73" t="s">
        <v>1464</v>
      </c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B289" s="60" t="s">
        <v>1150</v>
      </c>
      <c r="C289" s="60" t="s">
        <v>1151</v>
      </c>
      <c r="D289" s="67">
        <v>1.0</v>
      </c>
      <c r="E289" s="67" t="s">
        <v>83</v>
      </c>
      <c r="F289" s="67" t="s">
        <v>82</v>
      </c>
      <c r="G289" s="67">
        <v>36954.0</v>
      </c>
      <c r="H289" s="70" t="s">
        <v>187</v>
      </c>
      <c r="I289" s="70" t="s">
        <v>93</v>
      </c>
      <c r="J289" s="71"/>
      <c r="K289" s="80" t="s">
        <v>1153</v>
      </c>
      <c r="L289" s="353" t="s">
        <v>1466</v>
      </c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B290" s="60" t="s">
        <v>1159</v>
      </c>
      <c r="C290" s="60" t="s">
        <v>1160</v>
      </c>
      <c r="D290" s="67">
        <v>2.0</v>
      </c>
      <c r="E290" s="391" t="s">
        <v>24</v>
      </c>
      <c r="F290" s="391" t="s">
        <v>257</v>
      </c>
      <c r="G290" s="67">
        <v>36956.0</v>
      </c>
      <c r="H290" s="70" t="s">
        <v>175</v>
      </c>
      <c r="I290" s="70" t="s">
        <v>175</v>
      </c>
      <c r="J290" s="71" t="s">
        <v>1469</v>
      </c>
      <c r="K290" s="85"/>
      <c r="L290" s="120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B291" s="60" t="s">
        <v>174</v>
      </c>
      <c r="C291" s="60" t="s">
        <v>1166</v>
      </c>
      <c r="D291" s="67">
        <v>3.0</v>
      </c>
      <c r="E291" s="67" t="s">
        <v>54</v>
      </c>
      <c r="F291" s="67" t="s">
        <v>186</v>
      </c>
      <c r="G291" s="67">
        <v>36976.0</v>
      </c>
      <c r="H291" s="70" t="s">
        <v>90</v>
      </c>
      <c r="I291" s="70" t="s">
        <v>154</v>
      </c>
      <c r="J291" s="71"/>
      <c r="K291" s="70" t="s">
        <v>1470</v>
      </c>
      <c r="L291" s="73" t="s">
        <v>1472</v>
      </c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B292" s="60" t="s">
        <v>1176</v>
      </c>
      <c r="C292" s="60" t="s">
        <v>1177</v>
      </c>
      <c r="D292" s="67">
        <v>1.0</v>
      </c>
      <c r="E292" s="67" t="s">
        <v>54</v>
      </c>
      <c r="F292" s="67" t="s">
        <v>82</v>
      </c>
      <c r="G292" s="67">
        <v>36960.0</v>
      </c>
      <c r="H292" s="70" t="s">
        <v>215</v>
      </c>
      <c r="I292" s="70" t="s">
        <v>154</v>
      </c>
      <c r="J292" s="71"/>
      <c r="K292" s="245" t="s">
        <v>1380</v>
      </c>
      <c r="L292" s="83" t="s">
        <v>1473</v>
      </c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B293" s="60" t="s">
        <v>1184</v>
      </c>
      <c r="C293" s="60" t="s">
        <v>1186</v>
      </c>
      <c r="D293" s="67">
        <v>2.0</v>
      </c>
      <c r="E293" s="67" t="s">
        <v>145</v>
      </c>
      <c r="F293" s="67" t="s">
        <v>534</v>
      </c>
      <c r="G293" s="67">
        <v>36958.0</v>
      </c>
      <c r="H293" s="70" t="s">
        <v>175</v>
      </c>
      <c r="I293" s="70" t="s">
        <v>175</v>
      </c>
      <c r="J293" s="71"/>
      <c r="K293" s="85"/>
      <c r="L293" s="8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129"/>
      <c r="B294" s="131" t="s">
        <v>167</v>
      </c>
      <c r="C294" s="13"/>
      <c r="D294" s="132">
        <f>SUM(D279:D293)</f>
        <v>24.5</v>
      </c>
      <c r="E294" s="131" t="s">
        <v>167</v>
      </c>
      <c r="F294" s="13"/>
      <c r="G294" s="13"/>
      <c r="H294" s="13"/>
      <c r="I294" s="13"/>
      <c r="J294" s="13"/>
      <c r="K294" s="13"/>
      <c r="L294" s="18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129"/>
      <c r="B295" s="5"/>
      <c r="C295" s="5"/>
      <c r="D295" s="5"/>
      <c r="E295" s="5"/>
      <c r="F295" s="5"/>
      <c r="G295" s="5"/>
      <c r="H295" s="5"/>
      <c r="I295" s="5"/>
      <c r="J295" s="5"/>
      <c r="K295" s="92"/>
      <c r="L295" s="13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38" t="s">
        <v>1477</v>
      </c>
      <c r="B296" s="42" t="s">
        <v>1477</v>
      </c>
      <c r="C296" s="13"/>
      <c r="D296" s="13"/>
      <c r="E296" s="13"/>
      <c r="F296" s="13"/>
      <c r="G296" s="13"/>
      <c r="H296" s="13"/>
      <c r="I296" s="13"/>
      <c r="J296" s="13"/>
      <c r="K296" s="13"/>
      <c r="L296" s="18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B297" s="20" t="s">
        <v>1</v>
      </c>
      <c r="C297" s="20" t="s">
        <v>2</v>
      </c>
      <c r="D297" s="20" t="s">
        <v>6</v>
      </c>
      <c r="E297" s="20" t="s">
        <v>4</v>
      </c>
      <c r="F297" s="20" t="s">
        <v>5</v>
      </c>
      <c r="G297" s="20" t="s">
        <v>3</v>
      </c>
      <c r="H297" s="20" t="s">
        <v>7</v>
      </c>
      <c r="I297" s="26" t="s">
        <v>27</v>
      </c>
      <c r="J297" s="28" t="s">
        <v>10</v>
      </c>
      <c r="K297" s="31" t="s">
        <v>8</v>
      </c>
      <c r="L297" s="32" t="s">
        <v>9</v>
      </c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B298" s="60" t="s">
        <v>1478</v>
      </c>
      <c r="C298" s="60" t="s">
        <v>1479</v>
      </c>
      <c r="D298" s="67">
        <v>1.0</v>
      </c>
      <c r="E298" s="67" t="s">
        <v>83</v>
      </c>
      <c r="F298" s="67" t="s">
        <v>186</v>
      </c>
      <c r="G298" s="67">
        <v>36978.0</v>
      </c>
      <c r="H298" s="70" t="s">
        <v>197</v>
      </c>
      <c r="I298" s="70" t="s">
        <v>93</v>
      </c>
      <c r="J298" s="71"/>
      <c r="K298" s="245" t="s">
        <v>1481</v>
      </c>
      <c r="L298" s="380" t="s">
        <v>1482</v>
      </c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B299" s="60" t="s">
        <v>1483</v>
      </c>
      <c r="C299" s="60" t="s">
        <v>1484</v>
      </c>
      <c r="D299" s="67">
        <v>2.0</v>
      </c>
      <c r="E299" s="67" t="s">
        <v>54</v>
      </c>
      <c r="F299" s="67" t="s">
        <v>545</v>
      </c>
      <c r="G299" s="67">
        <v>36980.0</v>
      </c>
      <c r="H299" s="70" t="s">
        <v>175</v>
      </c>
      <c r="I299" s="70" t="s">
        <v>175</v>
      </c>
      <c r="J299" s="71"/>
      <c r="K299" s="85"/>
      <c r="L299" s="8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B300" s="60" t="s">
        <v>1485</v>
      </c>
      <c r="C300" s="60" t="s">
        <v>1486</v>
      </c>
      <c r="D300" s="67">
        <v>1.0</v>
      </c>
      <c r="E300" s="67" t="s">
        <v>24</v>
      </c>
      <c r="F300" s="67" t="s">
        <v>186</v>
      </c>
      <c r="G300" s="67">
        <v>36996.0</v>
      </c>
      <c r="H300" s="70" t="s">
        <v>187</v>
      </c>
      <c r="I300" s="70" t="s">
        <v>188</v>
      </c>
      <c r="J300" s="71"/>
      <c r="K300" s="245" t="s">
        <v>1487</v>
      </c>
      <c r="L300" s="83" t="s">
        <v>1489</v>
      </c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B301" s="60" t="s">
        <v>1490</v>
      </c>
      <c r="C301" s="60" t="s">
        <v>1493</v>
      </c>
      <c r="D301" s="67">
        <v>2.0</v>
      </c>
      <c r="E301" s="67" t="s">
        <v>54</v>
      </c>
      <c r="F301" s="67" t="s">
        <v>405</v>
      </c>
      <c r="G301" s="67">
        <v>36998.0</v>
      </c>
      <c r="H301" s="70" t="s">
        <v>175</v>
      </c>
      <c r="I301" s="70" t="s">
        <v>175</v>
      </c>
      <c r="J301" s="71"/>
      <c r="K301" s="85"/>
      <c r="L301" s="8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B302" s="60" t="s">
        <v>1496</v>
      </c>
      <c r="C302" s="60" t="s">
        <v>1497</v>
      </c>
      <c r="D302" s="67">
        <v>1.0</v>
      </c>
      <c r="E302" s="67" t="s">
        <v>54</v>
      </c>
      <c r="F302" s="67" t="s">
        <v>82</v>
      </c>
      <c r="G302" s="67">
        <v>36990.0</v>
      </c>
      <c r="H302" s="70" t="s">
        <v>1230</v>
      </c>
      <c r="I302" s="70" t="s">
        <v>154</v>
      </c>
      <c r="J302" s="71"/>
      <c r="K302" s="245" t="s">
        <v>1498</v>
      </c>
      <c r="L302" s="83" t="s">
        <v>1499</v>
      </c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B303" s="60" t="s">
        <v>1502</v>
      </c>
      <c r="C303" s="60" t="s">
        <v>1503</v>
      </c>
      <c r="D303" s="67">
        <v>2.0</v>
      </c>
      <c r="E303" s="67" t="s">
        <v>83</v>
      </c>
      <c r="F303" s="67" t="s">
        <v>500</v>
      </c>
      <c r="G303" s="67">
        <v>36988.0</v>
      </c>
      <c r="H303" s="70" t="s">
        <v>175</v>
      </c>
      <c r="I303" s="70" t="s">
        <v>175</v>
      </c>
      <c r="J303" s="71"/>
      <c r="K303" s="85"/>
      <c r="L303" s="8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B304" s="60" t="s">
        <v>1508</v>
      </c>
      <c r="C304" s="60" t="s">
        <v>1509</v>
      </c>
      <c r="D304" s="67">
        <v>1.0</v>
      </c>
      <c r="E304" s="67" t="s">
        <v>145</v>
      </c>
      <c r="F304" s="67" t="s">
        <v>82</v>
      </c>
      <c r="G304" s="67">
        <v>36992.0</v>
      </c>
      <c r="H304" s="70" t="s">
        <v>151</v>
      </c>
      <c r="I304" s="70" t="s">
        <v>188</v>
      </c>
      <c r="J304" s="71"/>
      <c r="K304" s="245" t="s">
        <v>1481</v>
      </c>
      <c r="L304" s="380" t="s">
        <v>1511</v>
      </c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B305" s="60" t="s">
        <v>1512</v>
      </c>
      <c r="C305" s="60" t="s">
        <v>1513</v>
      </c>
      <c r="D305" s="67">
        <v>2.0</v>
      </c>
      <c r="E305" s="67" t="s">
        <v>24</v>
      </c>
      <c r="F305" s="67" t="s">
        <v>173</v>
      </c>
      <c r="G305" s="67">
        <v>36994.0</v>
      </c>
      <c r="H305" s="70" t="s">
        <v>175</v>
      </c>
      <c r="I305" s="70" t="s">
        <v>175</v>
      </c>
      <c r="J305" s="71"/>
      <c r="K305" s="85"/>
      <c r="L305" s="8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B306" s="60" t="s">
        <v>768</v>
      </c>
      <c r="C306" s="60" t="s">
        <v>1517</v>
      </c>
      <c r="D306" s="67">
        <v>1.5</v>
      </c>
      <c r="E306" s="67" t="s">
        <v>24</v>
      </c>
      <c r="F306" s="67" t="s">
        <v>203</v>
      </c>
      <c r="G306" s="67">
        <v>37000.0</v>
      </c>
      <c r="H306" s="70" t="s">
        <v>206</v>
      </c>
      <c r="I306" s="70" t="s">
        <v>188</v>
      </c>
      <c r="J306" s="71"/>
      <c r="K306" s="16" t="s">
        <v>70</v>
      </c>
      <c r="L306" s="73" t="s">
        <v>1519</v>
      </c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B307" s="60" t="s">
        <v>1521</v>
      </c>
      <c r="C307" s="60" t="s">
        <v>1522</v>
      </c>
      <c r="D307" s="67">
        <v>3.0</v>
      </c>
      <c r="E307" s="67" t="s">
        <v>54</v>
      </c>
      <c r="F307" s="67" t="s">
        <v>271</v>
      </c>
      <c r="G307" s="67">
        <v>37002.0</v>
      </c>
      <c r="H307" s="70" t="s">
        <v>187</v>
      </c>
      <c r="I307" s="70" t="s">
        <v>154</v>
      </c>
      <c r="J307" s="71"/>
      <c r="K307" s="70"/>
      <c r="L307" s="98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B308" s="60" t="s">
        <v>134</v>
      </c>
      <c r="C308" s="60" t="s">
        <v>1523</v>
      </c>
      <c r="D308" s="67">
        <v>3.0</v>
      </c>
      <c r="E308" s="67" t="s">
        <v>83</v>
      </c>
      <c r="F308" s="67" t="s">
        <v>271</v>
      </c>
      <c r="G308" s="67">
        <v>36986.0</v>
      </c>
      <c r="H308" s="70" t="s">
        <v>215</v>
      </c>
      <c r="I308" s="70" t="s">
        <v>93</v>
      </c>
      <c r="J308" s="71"/>
      <c r="K308" s="70" t="s">
        <v>561</v>
      </c>
      <c r="L308" s="73" t="s">
        <v>1525</v>
      </c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B309" s="60" t="s">
        <v>1526</v>
      </c>
      <c r="C309" s="60" t="s">
        <v>1527</v>
      </c>
      <c r="D309" s="67">
        <v>1.0</v>
      </c>
      <c r="E309" s="67" t="s">
        <v>83</v>
      </c>
      <c r="F309" s="67" t="s">
        <v>118</v>
      </c>
      <c r="G309" s="67">
        <v>36982.0</v>
      </c>
      <c r="H309" s="70" t="s">
        <v>151</v>
      </c>
      <c r="I309" s="70" t="s">
        <v>93</v>
      </c>
      <c r="J309" s="71"/>
      <c r="K309" s="80" t="s">
        <v>159</v>
      </c>
      <c r="L309" s="380" t="s">
        <v>1528</v>
      </c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B310" s="60" t="s">
        <v>1529</v>
      </c>
      <c r="C310" s="60" t="s">
        <v>1530</v>
      </c>
      <c r="D310" s="67">
        <v>2.0</v>
      </c>
      <c r="E310" s="67" t="s">
        <v>54</v>
      </c>
      <c r="F310" s="67" t="s">
        <v>656</v>
      </c>
      <c r="G310" s="67">
        <v>36984.0</v>
      </c>
      <c r="H310" s="70" t="s">
        <v>175</v>
      </c>
      <c r="I310" s="70" t="s">
        <v>175</v>
      </c>
      <c r="J310" s="71"/>
      <c r="K310" s="85"/>
      <c r="L310" s="8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B311" s="131" t="s">
        <v>167</v>
      </c>
      <c r="C311" s="18"/>
      <c r="D311" s="400">
        <f>SUM(D298:D310)</f>
        <v>22.5</v>
      </c>
      <c r="E311" s="131" t="s">
        <v>167</v>
      </c>
      <c r="F311" s="13"/>
      <c r="G311" s="13"/>
      <c r="H311" s="13"/>
      <c r="I311" s="13"/>
      <c r="J311" s="13"/>
      <c r="K311" s="13"/>
      <c r="L311" s="18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129"/>
      <c r="B312" s="5"/>
      <c r="C312" s="5"/>
      <c r="D312" s="5"/>
      <c r="E312" s="5"/>
      <c r="F312" s="5"/>
      <c r="G312" s="5"/>
      <c r="H312" s="5"/>
      <c r="I312" s="5"/>
      <c r="J312" s="5"/>
      <c r="K312" s="92"/>
      <c r="L312" s="13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129"/>
      <c r="B313" s="5"/>
      <c r="C313" s="5"/>
      <c r="D313" s="5"/>
      <c r="E313" s="5"/>
      <c r="F313" s="5"/>
      <c r="G313" s="5"/>
      <c r="H313" s="5"/>
      <c r="I313" s="5"/>
      <c r="J313" s="5"/>
      <c r="K313" s="92"/>
      <c r="L313" s="13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38" t="s">
        <v>1534</v>
      </c>
      <c r="B314" s="42" t="s">
        <v>1534</v>
      </c>
      <c r="C314" s="13"/>
      <c r="D314" s="13"/>
      <c r="E314" s="13"/>
      <c r="F314" s="13"/>
      <c r="G314" s="13"/>
      <c r="H314" s="13"/>
      <c r="I314" s="13"/>
      <c r="J314" s="13"/>
      <c r="K314" s="13"/>
      <c r="L314" s="18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B315" s="20" t="s">
        <v>1</v>
      </c>
      <c r="C315" s="20" t="s">
        <v>2</v>
      </c>
      <c r="D315" s="20" t="s">
        <v>6</v>
      </c>
      <c r="E315" s="20" t="s">
        <v>4</v>
      </c>
      <c r="F315" s="20" t="s">
        <v>5</v>
      </c>
      <c r="G315" s="20" t="s">
        <v>3</v>
      </c>
      <c r="H315" s="20" t="s">
        <v>7</v>
      </c>
      <c r="I315" s="26" t="s">
        <v>27</v>
      </c>
      <c r="J315" s="28" t="s">
        <v>10</v>
      </c>
      <c r="K315" s="31" t="s">
        <v>8</v>
      </c>
      <c r="L315" s="32" t="s">
        <v>9</v>
      </c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B316" s="60" t="s">
        <v>1478</v>
      </c>
      <c r="C316" s="60" t="s">
        <v>1479</v>
      </c>
      <c r="D316" s="67">
        <v>1.0</v>
      </c>
      <c r="E316" s="67" t="s">
        <v>83</v>
      </c>
      <c r="F316" s="67" t="s">
        <v>118</v>
      </c>
      <c r="G316" s="67">
        <v>37008.0</v>
      </c>
      <c r="H316" s="70" t="s">
        <v>197</v>
      </c>
      <c r="I316" s="70" t="s">
        <v>93</v>
      </c>
      <c r="J316" s="71"/>
      <c r="K316" s="245" t="s">
        <v>1481</v>
      </c>
      <c r="L316" s="380" t="s">
        <v>1538</v>
      </c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B317" s="60" t="s">
        <v>1483</v>
      </c>
      <c r="C317" s="60" t="s">
        <v>1484</v>
      </c>
      <c r="D317" s="67">
        <v>2.0</v>
      </c>
      <c r="E317" s="67" t="s">
        <v>54</v>
      </c>
      <c r="F317" s="67" t="s">
        <v>405</v>
      </c>
      <c r="G317" s="67">
        <v>37010.0</v>
      </c>
      <c r="H317" s="70" t="s">
        <v>175</v>
      </c>
      <c r="I317" s="70" t="s">
        <v>175</v>
      </c>
      <c r="J317" s="71"/>
      <c r="K317" s="85"/>
      <c r="L317" s="8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B318" s="60" t="s">
        <v>1485</v>
      </c>
      <c r="C318" s="60" t="s">
        <v>1486</v>
      </c>
      <c r="D318" s="67">
        <v>1.0</v>
      </c>
      <c r="E318" s="67" t="s">
        <v>24</v>
      </c>
      <c r="F318" s="67" t="s">
        <v>118</v>
      </c>
      <c r="G318" s="67">
        <v>37018.0</v>
      </c>
      <c r="H318" s="70" t="s">
        <v>187</v>
      </c>
      <c r="I318" s="70" t="s">
        <v>188</v>
      </c>
      <c r="J318" s="71"/>
      <c r="K318" s="245" t="s">
        <v>1487</v>
      </c>
      <c r="L318" s="83" t="s">
        <v>1541</v>
      </c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B319" s="60" t="s">
        <v>1490</v>
      </c>
      <c r="C319" s="60" t="s">
        <v>1493</v>
      </c>
      <c r="D319" s="67">
        <v>2.0</v>
      </c>
      <c r="E319" s="67" t="s">
        <v>54</v>
      </c>
      <c r="F319" s="67" t="s">
        <v>656</v>
      </c>
      <c r="G319" s="67">
        <v>37020.0</v>
      </c>
      <c r="H319" s="70" t="s">
        <v>175</v>
      </c>
      <c r="I319" s="70" t="s">
        <v>175</v>
      </c>
      <c r="J319" s="71"/>
      <c r="K319" s="85"/>
      <c r="L319" s="8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B320" s="60" t="s">
        <v>1496</v>
      </c>
      <c r="C320" s="60" t="s">
        <v>1497</v>
      </c>
      <c r="D320" s="67">
        <v>1.0</v>
      </c>
      <c r="E320" s="67" t="s">
        <v>83</v>
      </c>
      <c r="F320" s="67" t="s">
        <v>271</v>
      </c>
      <c r="G320" s="67">
        <v>37012.0</v>
      </c>
      <c r="H320" s="70" t="s">
        <v>1230</v>
      </c>
      <c r="I320" s="70" t="s">
        <v>93</v>
      </c>
      <c r="J320" s="71"/>
      <c r="K320" s="245" t="s">
        <v>1336</v>
      </c>
      <c r="L320" s="83" t="s">
        <v>1545</v>
      </c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B321" s="60" t="s">
        <v>1502</v>
      </c>
      <c r="C321" s="60" t="s">
        <v>1503</v>
      </c>
      <c r="D321" s="67">
        <v>2.0</v>
      </c>
      <c r="E321" s="67" t="s">
        <v>83</v>
      </c>
      <c r="F321" s="67" t="s">
        <v>534</v>
      </c>
      <c r="G321" s="67">
        <v>37014.0</v>
      </c>
      <c r="H321" s="70" t="s">
        <v>175</v>
      </c>
      <c r="I321" s="70" t="s">
        <v>175</v>
      </c>
      <c r="J321" s="71"/>
      <c r="K321" s="85"/>
      <c r="L321" s="8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B322" s="60" t="s">
        <v>1508</v>
      </c>
      <c r="C322" s="60" t="s">
        <v>1509</v>
      </c>
      <c r="D322" s="67">
        <v>1.0</v>
      </c>
      <c r="E322" s="67" t="s">
        <v>24</v>
      </c>
      <c r="F322" s="67" t="s">
        <v>82</v>
      </c>
      <c r="G322" s="67">
        <v>37024.0</v>
      </c>
      <c r="H322" s="70" t="s">
        <v>151</v>
      </c>
      <c r="I322" s="70" t="s">
        <v>188</v>
      </c>
      <c r="J322" s="71"/>
      <c r="K322" s="245" t="s">
        <v>1547</v>
      </c>
      <c r="L322" s="83" t="s">
        <v>1548</v>
      </c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B323" s="60" t="s">
        <v>1512</v>
      </c>
      <c r="C323" s="60" t="s">
        <v>1513</v>
      </c>
      <c r="D323" s="67">
        <v>2.0</v>
      </c>
      <c r="E323" s="67" t="s">
        <v>54</v>
      </c>
      <c r="F323" s="67" t="s">
        <v>545</v>
      </c>
      <c r="G323" s="67">
        <v>37026.0</v>
      </c>
      <c r="H323" s="70" t="s">
        <v>175</v>
      </c>
      <c r="I323" s="70" t="s">
        <v>175</v>
      </c>
      <c r="J323" s="71"/>
      <c r="K323" s="85"/>
      <c r="L323" s="8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B324" s="60" t="s">
        <v>768</v>
      </c>
      <c r="C324" s="60" t="s">
        <v>1517</v>
      </c>
      <c r="D324" s="67">
        <v>1.5</v>
      </c>
      <c r="E324" s="67" t="s">
        <v>24</v>
      </c>
      <c r="F324" s="67" t="s">
        <v>365</v>
      </c>
      <c r="G324" s="67">
        <v>37016.0</v>
      </c>
      <c r="H324" s="70" t="s">
        <v>206</v>
      </c>
      <c r="I324" s="70" t="s">
        <v>188</v>
      </c>
      <c r="J324" s="71"/>
      <c r="K324" s="16" t="s">
        <v>104</v>
      </c>
      <c r="L324" s="216" t="s">
        <v>1550</v>
      </c>
      <c r="M324" s="262"/>
      <c r="N324" s="262"/>
      <c r="O324" s="262"/>
      <c r="P324" s="262"/>
      <c r="Q324" s="262"/>
      <c r="R324" s="262"/>
      <c r="S324" s="262"/>
      <c r="T324" s="262"/>
      <c r="U324" s="262"/>
      <c r="V324" s="262"/>
      <c r="W324" s="262"/>
      <c r="X324" s="262"/>
      <c r="Y324" s="262"/>
      <c r="Z324" s="262"/>
      <c r="AA324" s="264"/>
    </row>
    <row r="325">
      <c r="B325" s="60" t="s">
        <v>1521</v>
      </c>
      <c r="C325" s="60" t="s">
        <v>1522</v>
      </c>
      <c r="D325" s="67">
        <v>3.0</v>
      </c>
      <c r="E325" s="67" t="s">
        <v>54</v>
      </c>
      <c r="F325" s="67" t="s">
        <v>82</v>
      </c>
      <c r="G325" s="67">
        <v>37028.0</v>
      </c>
      <c r="H325" s="70" t="s">
        <v>187</v>
      </c>
      <c r="I325" s="70" t="s">
        <v>154</v>
      </c>
      <c r="J325" s="71"/>
      <c r="K325" s="70"/>
      <c r="L325" s="53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B326" s="60" t="s">
        <v>134</v>
      </c>
      <c r="C326" s="60" t="s">
        <v>1523</v>
      </c>
      <c r="D326" s="67">
        <v>3.0</v>
      </c>
      <c r="E326" s="67" t="s">
        <v>24</v>
      </c>
      <c r="F326" s="67" t="s">
        <v>271</v>
      </c>
      <c r="G326" s="67">
        <v>37022.0</v>
      </c>
      <c r="H326" s="70" t="s">
        <v>215</v>
      </c>
      <c r="I326" s="70" t="s">
        <v>188</v>
      </c>
      <c r="J326" s="71"/>
      <c r="K326" s="70" t="s">
        <v>561</v>
      </c>
      <c r="L326" s="73" t="s">
        <v>1557</v>
      </c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B327" s="60" t="s">
        <v>1526</v>
      </c>
      <c r="C327" s="60" t="s">
        <v>1527</v>
      </c>
      <c r="D327" s="67">
        <v>1.0</v>
      </c>
      <c r="E327" s="67" t="s">
        <v>83</v>
      </c>
      <c r="F327" s="67" t="s">
        <v>186</v>
      </c>
      <c r="G327" s="67">
        <v>37004.0</v>
      </c>
      <c r="H327" s="70" t="s">
        <v>151</v>
      </c>
      <c r="I327" s="70" t="s">
        <v>93</v>
      </c>
      <c r="J327" s="71"/>
      <c r="K327" s="80" t="s">
        <v>159</v>
      </c>
      <c r="L327" s="83" t="s">
        <v>1561</v>
      </c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B328" s="60" t="s">
        <v>1529</v>
      </c>
      <c r="C328" s="60" t="s">
        <v>1530</v>
      </c>
      <c r="D328" s="67">
        <v>2.0</v>
      </c>
      <c r="E328" s="67" t="s">
        <v>54</v>
      </c>
      <c r="F328" s="67" t="s">
        <v>257</v>
      </c>
      <c r="G328" s="67">
        <v>37006.0</v>
      </c>
      <c r="H328" s="70" t="s">
        <v>175</v>
      </c>
      <c r="I328" s="70" t="s">
        <v>175</v>
      </c>
      <c r="J328" s="71"/>
      <c r="K328" s="85"/>
      <c r="L328" s="8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B329" s="131" t="s">
        <v>167</v>
      </c>
      <c r="C329" s="18"/>
      <c r="D329" s="400">
        <f>SUM(D316:D328)</f>
        <v>22.5</v>
      </c>
      <c r="E329" s="131" t="s">
        <v>167</v>
      </c>
      <c r="F329" s="13"/>
      <c r="G329" s="13"/>
      <c r="H329" s="13"/>
      <c r="I329" s="13"/>
      <c r="J329" s="13"/>
      <c r="K329" s="13"/>
      <c r="L329" s="18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129"/>
      <c r="B330" s="5"/>
      <c r="C330" s="5"/>
      <c r="D330" s="5"/>
      <c r="E330" s="5"/>
      <c r="F330" s="5"/>
      <c r="G330" s="5"/>
      <c r="H330" s="5"/>
      <c r="I330" s="5"/>
      <c r="J330" s="5"/>
      <c r="K330" s="92"/>
      <c r="L330" s="13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129"/>
      <c r="B331" s="5"/>
      <c r="C331" s="5"/>
      <c r="D331" s="5"/>
      <c r="E331" s="5"/>
      <c r="F331" s="5"/>
      <c r="G331" s="5"/>
      <c r="H331" s="5"/>
      <c r="I331" s="5"/>
      <c r="J331" s="5"/>
      <c r="K331" s="92"/>
      <c r="L331" s="13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38" t="s">
        <v>1567</v>
      </c>
      <c r="B332" s="42" t="s">
        <v>1567</v>
      </c>
      <c r="C332" s="13"/>
      <c r="D332" s="13"/>
      <c r="E332" s="13"/>
      <c r="F332" s="13"/>
      <c r="G332" s="13"/>
      <c r="H332" s="13"/>
      <c r="I332" s="13"/>
      <c r="J332" s="13"/>
      <c r="K332" s="13"/>
      <c r="L332" s="18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B333" s="20" t="s">
        <v>1</v>
      </c>
      <c r="C333" s="20" t="s">
        <v>2</v>
      </c>
      <c r="D333" s="20" t="s">
        <v>6</v>
      </c>
      <c r="E333" s="20" t="s">
        <v>4</v>
      </c>
      <c r="F333" s="20" t="s">
        <v>5</v>
      </c>
      <c r="G333" s="20" t="s">
        <v>3</v>
      </c>
      <c r="H333" s="20" t="s">
        <v>7</v>
      </c>
      <c r="I333" s="26" t="s">
        <v>27</v>
      </c>
      <c r="J333" s="28" t="s">
        <v>10</v>
      </c>
      <c r="K333" s="31" t="s">
        <v>8</v>
      </c>
      <c r="L333" s="32" t="s">
        <v>9</v>
      </c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B334" s="60" t="s">
        <v>1478</v>
      </c>
      <c r="C334" s="60" t="s">
        <v>1479</v>
      </c>
      <c r="D334" s="67">
        <v>1.0</v>
      </c>
      <c r="E334" s="67" t="s">
        <v>83</v>
      </c>
      <c r="F334" s="67" t="s">
        <v>271</v>
      </c>
      <c r="G334" s="67">
        <v>37034.0</v>
      </c>
      <c r="H334" s="70" t="s">
        <v>197</v>
      </c>
      <c r="I334" s="70" t="s">
        <v>93</v>
      </c>
      <c r="J334" s="71"/>
      <c r="K334" s="245" t="s">
        <v>1481</v>
      </c>
      <c r="L334" s="380" t="s">
        <v>1568</v>
      </c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B335" s="60" t="s">
        <v>1483</v>
      </c>
      <c r="C335" s="60" t="s">
        <v>1484</v>
      </c>
      <c r="D335" s="67">
        <v>2.0</v>
      </c>
      <c r="E335" s="67" t="s">
        <v>54</v>
      </c>
      <c r="F335" s="67" t="s">
        <v>1570</v>
      </c>
      <c r="G335" s="67">
        <v>37036.0</v>
      </c>
      <c r="H335" s="70" t="s">
        <v>175</v>
      </c>
      <c r="I335" s="70" t="s">
        <v>175</v>
      </c>
      <c r="J335" s="71"/>
      <c r="K335" s="85"/>
      <c r="L335" s="8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B336" s="60" t="s">
        <v>1485</v>
      </c>
      <c r="C336" s="60" t="s">
        <v>1486</v>
      </c>
      <c r="D336" s="67">
        <v>1.0</v>
      </c>
      <c r="E336" s="67" t="s">
        <v>24</v>
      </c>
      <c r="F336" s="67" t="s">
        <v>271</v>
      </c>
      <c r="G336" s="67">
        <v>37049.0</v>
      </c>
      <c r="H336" s="70" t="s">
        <v>187</v>
      </c>
      <c r="I336" s="70" t="s">
        <v>188</v>
      </c>
      <c r="J336" s="71"/>
      <c r="K336" s="245" t="s">
        <v>1487</v>
      </c>
      <c r="L336" s="83" t="s">
        <v>1572</v>
      </c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B337" s="60" t="s">
        <v>1490</v>
      </c>
      <c r="C337" s="60" t="s">
        <v>1493</v>
      </c>
      <c r="D337" s="67">
        <v>2.0</v>
      </c>
      <c r="E337" s="67" t="s">
        <v>54</v>
      </c>
      <c r="F337" s="67" t="s">
        <v>1575</v>
      </c>
      <c r="G337" s="67">
        <v>37051.0</v>
      </c>
      <c r="H337" s="70" t="s">
        <v>175</v>
      </c>
      <c r="I337" s="70" t="s">
        <v>175</v>
      </c>
      <c r="J337" s="71"/>
      <c r="K337" s="85"/>
      <c r="L337" s="8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B338" s="60" t="s">
        <v>1496</v>
      </c>
      <c r="C338" s="60" t="s">
        <v>1497</v>
      </c>
      <c r="D338" s="67">
        <v>1.0</v>
      </c>
      <c r="E338" s="67" t="s">
        <v>83</v>
      </c>
      <c r="F338" s="67" t="s">
        <v>118</v>
      </c>
      <c r="G338" s="67">
        <v>37032.0</v>
      </c>
      <c r="H338" s="70" t="s">
        <v>1230</v>
      </c>
      <c r="I338" s="70" t="s">
        <v>93</v>
      </c>
      <c r="J338" s="71"/>
      <c r="K338" s="245" t="s">
        <v>1336</v>
      </c>
      <c r="L338" s="83" t="s">
        <v>1578</v>
      </c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B339" s="60" t="s">
        <v>1502</v>
      </c>
      <c r="C339" s="60" t="s">
        <v>1503</v>
      </c>
      <c r="D339" s="67">
        <v>2.0</v>
      </c>
      <c r="E339" s="67" t="s">
        <v>83</v>
      </c>
      <c r="F339" s="67" t="s">
        <v>1579</v>
      </c>
      <c r="G339" s="67">
        <v>37030.0</v>
      </c>
      <c r="H339" s="70" t="s">
        <v>175</v>
      </c>
      <c r="I339" s="70" t="s">
        <v>175</v>
      </c>
      <c r="J339" s="71"/>
      <c r="K339" s="85"/>
      <c r="L339" s="8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B340" s="60" t="s">
        <v>1508</v>
      </c>
      <c r="C340" s="60" t="s">
        <v>1509</v>
      </c>
      <c r="D340" s="67">
        <v>1.0</v>
      </c>
      <c r="E340" s="67" t="s">
        <v>81</v>
      </c>
      <c r="F340" s="67" t="s">
        <v>82</v>
      </c>
      <c r="G340" s="67">
        <v>37044.0</v>
      </c>
      <c r="H340" s="70" t="s">
        <v>151</v>
      </c>
      <c r="I340" s="70" t="s">
        <v>188</v>
      </c>
      <c r="J340" s="71"/>
      <c r="K340" s="245" t="s">
        <v>1547</v>
      </c>
      <c r="L340" s="83" t="s">
        <v>1582</v>
      </c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B341" s="60" t="s">
        <v>1512</v>
      </c>
      <c r="C341" s="60" t="s">
        <v>1513</v>
      </c>
      <c r="D341" s="67">
        <v>2.0</v>
      </c>
      <c r="E341" s="67" t="s">
        <v>54</v>
      </c>
      <c r="F341" s="67" t="s">
        <v>500</v>
      </c>
      <c r="G341" s="67">
        <v>37046.0</v>
      </c>
      <c r="H341" s="70" t="s">
        <v>175</v>
      </c>
      <c r="I341" s="70" t="s">
        <v>175</v>
      </c>
      <c r="J341" s="71"/>
      <c r="K341" s="85"/>
      <c r="L341" s="8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B342" s="60" t="s">
        <v>768</v>
      </c>
      <c r="C342" s="60" t="s">
        <v>1517</v>
      </c>
      <c r="D342" s="67">
        <v>1.5</v>
      </c>
      <c r="E342" s="67" t="s">
        <v>81</v>
      </c>
      <c r="F342" s="67" t="s">
        <v>523</v>
      </c>
      <c r="G342" s="67">
        <v>37042.0</v>
      </c>
      <c r="H342" s="70" t="s">
        <v>206</v>
      </c>
      <c r="I342" s="70" t="s">
        <v>188</v>
      </c>
      <c r="J342" s="71"/>
      <c r="K342" s="16" t="s">
        <v>367</v>
      </c>
      <c r="L342" s="155" t="s">
        <v>1585</v>
      </c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B343" s="60" t="s">
        <v>1521</v>
      </c>
      <c r="C343" s="60" t="s">
        <v>1522</v>
      </c>
      <c r="D343" s="67">
        <v>3.0</v>
      </c>
      <c r="E343" s="67" t="s">
        <v>54</v>
      </c>
      <c r="F343" s="67" t="s">
        <v>118</v>
      </c>
      <c r="G343" s="67">
        <v>37055.0</v>
      </c>
      <c r="H343" s="70" t="s">
        <v>187</v>
      </c>
      <c r="I343" s="70" t="s">
        <v>154</v>
      </c>
      <c r="J343" s="71"/>
      <c r="K343" s="70"/>
      <c r="L343" s="98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B344" s="60" t="s">
        <v>134</v>
      </c>
      <c r="C344" s="60" t="s">
        <v>1523</v>
      </c>
      <c r="D344" s="67">
        <v>3.0</v>
      </c>
      <c r="E344" s="67" t="s">
        <v>24</v>
      </c>
      <c r="F344" s="67" t="s">
        <v>82</v>
      </c>
      <c r="G344" s="67">
        <v>37053.0</v>
      </c>
      <c r="H344" s="70" t="s">
        <v>215</v>
      </c>
      <c r="I344" s="70" t="s">
        <v>188</v>
      </c>
      <c r="J344" s="71"/>
      <c r="K344" s="70" t="s">
        <v>561</v>
      </c>
      <c r="L344" s="73" t="s">
        <v>1587</v>
      </c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B345" s="60" t="s">
        <v>1526</v>
      </c>
      <c r="C345" s="60" t="s">
        <v>1527</v>
      </c>
      <c r="D345" s="67">
        <v>1.0</v>
      </c>
      <c r="E345" s="67" t="s">
        <v>83</v>
      </c>
      <c r="F345" s="67" t="s">
        <v>82</v>
      </c>
      <c r="G345" s="67">
        <v>37038.0</v>
      </c>
      <c r="H345" s="70" t="s">
        <v>151</v>
      </c>
      <c r="I345" s="70" t="s">
        <v>93</v>
      </c>
      <c r="J345" s="71"/>
      <c r="K345" s="80" t="s">
        <v>159</v>
      </c>
      <c r="L345" s="83" t="s">
        <v>1588</v>
      </c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B346" s="60" t="s">
        <v>1529</v>
      </c>
      <c r="C346" s="60" t="s">
        <v>1530</v>
      </c>
      <c r="D346" s="67">
        <v>2.0</v>
      </c>
      <c r="E346" s="67" t="s">
        <v>54</v>
      </c>
      <c r="F346" s="67" t="s">
        <v>545</v>
      </c>
      <c r="G346" s="67">
        <v>37040.0</v>
      </c>
      <c r="H346" s="70" t="s">
        <v>175</v>
      </c>
      <c r="I346" s="70" t="s">
        <v>175</v>
      </c>
      <c r="J346" s="71"/>
      <c r="K346" s="85"/>
      <c r="L346" s="8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B347" s="131" t="s">
        <v>167</v>
      </c>
      <c r="C347" s="18"/>
      <c r="D347" s="400">
        <f>SUM(D334:D346)</f>
        <v>22.5</v>
      </c>
      <c r="E347" s="131" t="s">
        <v>167</v>
      </c>
      <c r="F347" s="13"/>
      <c r="G347" s="13"/>
      <c r="H347" s="13"/>
      <c r="I347" s="13"/>
      <c r="J347" s="13"/>
      <c r="K347" s="13"/>
      <c r="L347" s="18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129"/>
      <c r="B348" s="5"/>
      <c r="C348" s="5"/>
      <c r="D348" s="5"/>
      <c r="E348" s="5"/>
      <c r="F348" s="5"/>
      <c r="G348" s="5"/>
      <c r="H348" s="5"/>
      <c r="I348" s="5"/>
      <c r="J348" s="5"/>
      <c r="K348" s="92"/>
      <c r="L348" s="13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129"/>
      <c r="B349" s="5"/>
      <c r="C349" s="5"/>
      <c r="D349" s="5"/>
      <c r="E349" s="5"/>
      <c r="F349" s="5"/>
      <c r="G349" s="5"/>
      <c r="H349" s="5"/>
      <c r="I349" s="5"/>
      <c r="J349" s="5"/>
      <c r="K349" s="92"/>
      <c r="L349" s="13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409" t="s">
        <v>1595</v>
      </c>
      <c r="B350" s="360" t="s">
        <v>1595</v>
      </c>
      <c r="C350" s="13"/>
      <c r="D350" s="13"/>
      <c r="E350" s="13"/>
      <c r="F350" s="13"/>
      <c r="G350" s="13"/>
      <c r="H350" s="13"/>
      <c r="I350" s="13"/>
      <c r="J350" s="13"/>
      <c r="K350" s="13"/>
      <c r="L350" s="18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B351" s="20" t="s">
        <v>1</v>
      </c>
      <c r="C351" s="20" t="s">
        <v>2</v>
      </c>
      <c r="D351" s="20" t="s">
        <v>6</v>
      </c>
      <c r="E351" s="20" t="s">
        <v>4</v>
      </c>
      <c r="F351" s="20" t="s">
        <v>5</v>
      </c>
      <c r="G351" s="20" t="s">
        <v>3</v>
      </c>
      <c r="H351" s="20" t="s">
        <v>7</v>
      </c>
      <c r="I351" s="26" t="s">
        <v>27</v>
      </c>
      <c r="J351" s="28" t="s">
        <v>10</v>
      </c>
      <c r="K351" s="31" t="s">
        <v>8</v>
      </c>
      <c r="L351" s="32" t="s">
        <v>9</v>
      </c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B352" s="60" t="s">
        <v>1478</v>
      </c>
      <c r="C352" s="60" t="s">
        <v>1479</v>
      </c>
      <c r="D352" s="67">
        <v>1.0</v>
      </c>
      <c r="E352" s="67" t="s">
        <v>83</v>
      </c>
      <c r="F352" s="67" t="s">
        <v>82</v>
      </c>
      <c r="G352" s="67">
        <v>37065.0</v>
      </c>
      <c r="H352" s="70" t="s">
        <v>197</v>
      </c>
      <c r="I352" s="70" t="s">
        <v>93</v>
      </c>
      <c r="J352" s="71"/>
      <c r="K352" s="245" t="s">
        <v>1481</v>
      </c>
      <c r="L352" s="380" t="s">
        <v>1597</v>
      </c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B353" s="60" t="s">
        <v>1483</v>
      </c>
      <c r="C353" s="60" t="s">
        <v>1484</v>
      </c>
      <c r="D353" s="67">
        <v>2.0</v>
      </c>
      <c r="E353" s="67" t="s">
        <v>24</v>
      </c>
      <c r="F353" s="67" t="s">
        <v>257</v>
      </c>
      <c r="G353" s="67">
        <v>37067.0</v>
      </c>
      <c r="H353" s="70" t="s">
        <v>175</v>
      </c>
      <c r="I353" s="70" t="s">
        <v>175</v>
      </c>
      <c r="J353" s="71"/>
      <c r="K353" s="85"/>
      <c r="L353" s="8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B354" s="60" t="s">
        <v>1485</v>
      </c>
      <c r="C354" s="60" t="s">
        <v>1486</v>
      </c>
      <c r="D354" s="67">
        <v>1.0</v>
      </c>
      <c r="E354" s="67" t="s">
        <v>24</v>
      </c>
      <c r="F354" s="67" t="s">
        <v>82</v>
      </c>
      <c r="G354" s="67">
        <v>37075.0</v>
      </c>
      <c r="H354" s="70" t="s">
        <v>187</v>
      </c>
      <c r="I354" s="70" t="s">
        <v>188</v>
      </c>
      <c r="J354" s="71"/>
      <c r="K354" s="245" t="s">
        <v>1487</v>
      </c>
      <c r="L354" s="83" t="s">
        <v>1599</v>
      </c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B355" s="60" t="s">
        <v>1490</v>
      </c>
      <c r="C355" s="60" t="s">
        <v>1493</v>
      </c>
      <c r="D355" s="67">
        <v>2.0</v>
      </c>
      <c r="E355" s="67" t="s">
        <v>54</v>
      </c>
      <c r="F355" s="67" t="s">
        <v>1570</v>
      </c>
      <c r="G355" s="67">
        <v>37077.0</v>
      </c>
      <c r="H355" s="70" t="s">
        <v>175</v>
      </c>
      <c r="I355" s="70" t="s">
        <v>175</v>
      </c>
      <c r="J355" s="71"/>
      <c r="K355" s="85"/>
      <c r="L355" s="8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B356" s="60" t="s">
        <v>1496</v>
      </c>
      <c r="C356" s="60" t="s">
        <v>1497</v>
      </c>
      <c r="D356" s="67">
        <v>1.0</v>
      </c>
      <c r="E356" s="67" t="s">
        <v>71</v>
      </c>
      <c r="F356" s="67" t="s">
        <v>118</v>
      </c>
      <c r="G356" s="67">
        <v>37069.0</v>
      </c>
      <c r="H356" s="70" t="s">
        <v>1230</v>
      </c>
      <c r="I356" s="70" t="s">
        <v>188</v>
      </c>
      <c r="J356" s="71"/>
      <c r="K356" s="245" t="s">
        <v>1336</v>
      </c>
      <c r="L356" s="83" t="s">
        <v>1604</v>
      </c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B357" s="60" t="s">
        <v>1502</v>
      </c>
      <c r="C357" s="60" t="s">
        <v>1503</v>
      </c>
      <c r="D357" s="67">
        <v>2.0</v>
      </c>
      <c r="E357" s="391" t="s">
        <v>24</v>
      </c>
      <c r="F357" s="391" t="s">
        <v>1452</v>
      </c>
      <c r="G357" s="67">
        <v>37071.0</v>
      </c>
      <c r="H357" s="70" t="s">
        <v>175</v>
      </c>
      <c r="I357" s="70" t="s">
        <v>175</v>
      </c>
      <c r="J357" s="71" t="s">
        <v>1458</v>
      </c>
      <c r="K357" s="85"/>
      <c r="L357" s="8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B358" s="60" t="s">
        <v>1508</v>
      </c>
      <c r="C358" s="60" t="s">
        <v>1509</v>
      </c>
      <c r="D358" s="67">
        <v>1.0</v>
      </c>
      <c r="E358" s="67" t="s">
        <v>71</v>
      </c>
      <c r="F358" s="67" t="s">
        <v>186</v>
      </c>
      <c r="G358" s="67">
        <v>37059.0</v>
      </c>
      <c r="H358" s="70" t="s">
        <v>151</v>
      </c>
      <c r="I358" s="70" t="s">
        <v>188</v>
      </c>
      <c r="J358" s="71"/>
      <c r="K358" s="245" t="s">
        <v>1130</v>
      </c>
      <c r="L358" s="83" t="s">
        <v>1609</v>
      </c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B359" s="60" t="s">
        <v>1512</v>
      </c>
      <c r="C359" s="60" t="s">
        <v>1513</v>
      </c>
      <c r="D359" s="67">
        <v>2.0</v>
      </c>
      <c r="E359" s="67" t="s">
        <v>83</v>
      </c>
      <c r="F359" s="67" t="s">
        <v>545</v>
      </c>
      <c r="G359" s="67">
        <v>37057.0</v>
      </c>
      <c r="H359" s="70" t="s">
        <v>175</v>
      </c>
      <c r="I359" s="70" t="s">
        <v>175</v>
      </c>
      <c r="J359" s="71"/>
      <c r="K359" s="85"/>
      <c r="L359" s="8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B360" s="60" t="s">
        <v>768</v>
      </c>
      <c r="C360" s="60" t="s">
        <v>1517</v>
      </c>
      <c r="D360" s="67">
        <v>1.5</v>
      </c>
      <c r="E360" s="67" t="s">
        <v>71</v>
      </c>
      <c r="F360" s="67" t="s">
        <v>863</v>
      </c>
      <c r="G360" s="67">
        <v>37073.0</v>
      </c>
      <c r="H360" s="70" t="s">
        <v>206</v>
      </c>
      <c r="I360" s="70" t="s">
        <v>188</v>
      </c>
      <c r="J360" s="71"/>
      <c r="K360" s="16" t="s">
        <v>367</v>
      </c>
      <c r="L360" s="155" t="s">
        <v>1611</v>
      </c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B361" s="60" t="s">
        <v>1521</v>
      </c>
      <c r="C361" s="60" t="s">
        <v>1522</v>
      </c>
      <c r="D361" s="67">
        <v>3.0</v>
      </c>
      <c r="E361" s="67" t="s">
        <v>54</v>
      </c>
      <c r="F361" s="67" t="s">
        <v>186</v>
      </c>
      <c r="G361" s="67">
        <v>37079.0</v>
      </c>
      <c r="H361" s="70" t="s">
        <v>187</v>
      </c>
      <c r="I361" s="70" t="s">
        <v>154</v>
      </c>
      <c r="J361" s="71"/>
      <c r="K361" s="70"/>
      <c r="L361" s="98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B362" s="60" t="s">
        <v>134</v>
      </c>
      <c r="C362" s="60" t="s">
        <v>1523</v>
      </c>
      <c r="D362" s="67">
        <v>3.0</v>
      </c>
      <c r="E362" s="67" t="s">
        <v>54</v>
      </c>
      <c r="F362" s="67" t="s">
        <v>118</v>
      </c>
      <c r="G362" s="67">
        <v>37081.0</v>
      </c>
      <c r="H362" s="70" t="s">
        <v>90</v>
      </c>
      <c r="I362" s="70" t="s">
        <v>154</v>
      </c>
      <c r="J362" s="71"/>
      <c r="K362" s="70" t="s">
        <v>1470</v>
      </c>
      <c r="L362" s="73" t="s">
        <v>1612</v>
      </c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B363" s="60" t="s">
        <v>1526</v>
      </c>
      <c r="C363" s="60" t="s">
        <v>1527</v>
      </c>
      <c r="D363" s="67">
        <v>1.0</v>
      </c>
      <c r="E363" s="67" t="s">
        <v>83</v>
      </c>
      <c r="F363" s="67" t="s">
        <v>271</v>
      </c>
      <c r="G363" s="67">
        <v>37061.0</v>
      </c>
      <c r="H363" s="70" t="s">
        <v>151</v>
      </c>
      <c r="I363" s="70" t="s">
        <v>93</v>
      </c>
      <c r="J363" s="71"/>
      <c r="K363" s="80" t="s">
        <v>159</v>
      </c>
      <c r="L363" s="83" t="s">
        <v>1615</v>
      </c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B364" s="60" t="s">
        <v>1529</v>
      </c>
      <c r="C364" s="60" t="s">
        <v>1530</v>
      </c>
      <c r="D364" s="67">
        <v>2.0</v>
      </c>
      <c r="E364" s="67" t="s">
        <v>71</v>
      </c>
      <c r="F364" s="67" t="s">
        <v>1145</v>
      </c>
      <c r="G364" s="67">
        <v>37063.0</v>
      </c>
      <c r="H364" s="70" t="s">
        <v>175</v>
      </c>
      <c r="I364" s="70" t="s">
        <v>175</v>
      </c>
      <c r="J364" s="71"/>
      <c r="K364" s="85"/>
      <c r="L364" s="8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B365" s="131" t="s">
        <v>167</v>
      </c>
      <c r="C365" s="18"/>
      <c r="D365" s="400">
        <f>SUM(D352:D364)</f>
        <v>22.5</v>
      </c>
      <c r="E365" s="131" t="s">
        <v>167</v>
      </c>
      <c r="F365" s="13"/>
      <c r="G365" s="13"/>
      <c r="H365" s="13"/>
      <c r="I365" s="13"/>
      <c r="J365" s="13"/>
      <c r="K365" s="13"/>
      <c r="L365" s="18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129"/>
      <c r="B366" s="5"/>
      <c r="C366" s="5"/>
      <c r="D366" s="5"/>
      <c r="E366" s="5"/>
      <c r="F366" s="5"/>
      <c r="G366" s="5"/>
      <c r="H366" s="5"/>
      <c r="I366" s="5"/>
      <c r="J366" s="5"/>
      <c r="K366" s="92"/>
      <c r="L366" s="13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129"/>
      <c r="B367" s="5"/>
      <c r="C367" s="5"/>
      <c r="D367" s="5"/>
      <c r="E367" s="5"/>
      <c r="F367" s="5"/>
      <c r="G367" s="5"/>
      <c r="H367" s="5"/>
      <c r="I367" s="5"/>
      <c r="J367" s="5"/>
      <c r="K367" s="92"/>
      <c r="L367" s="13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409" t="s">
        <v>1618</v>
      </c>
      <c r="B368" s="360" t="s">
        <v>1618</v>
      </c>
      <c r="C368" s="13"/>
      <c r="D368" s="13"/>
      <c r="E368" s="13"/>
      <c r="F368" s="13"/>
      <c r="G368" s="13"/>
      <c r="H368" s="13"/>
      <c r="I368" s="13"/>
      <c r="J368" s="13"/>
      <c r="K368" s="13"/>
      <c r="L368" s="18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B369" s="20" t="s">
        <v>1</v>
      </c>
      <c r="C369" s="20" t="s">
        <v>2</v>
      </c>
      <c r="D369" s="20" t="s">
        <v>6</v>
      </c>
      <c r="E369" s="20" t="s">
        <v>4</v>
      </c>
      <c r="F369" s="20" t="s">
        <v>5</v>
      </c>
      <c r="G369" s="20" t="s">
        <v>3</v>
      </c>
      <c r="H369" s="20" t="s">
        <v>7</v>
      </c>
      <c r="I369" s="26" t="s">
        <v>27</v>
      </c>
      <c r="J369" s="28" t="s">
        <v>10</v>
      </c>
      <c r="K369" s="31" t="s">
        <v>8</v>
      </c>
      <c r="L369" s="32" t="s">
        <v>9</v>
      </c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B370" s="60" t="s">
        <v>1478</v>
      </c>
      <c r="C370" s="60" t="s">
        <v>1479</v>
      </c>
      <c r="D370" s="67">
        <v>1.0</v>
      </c>
      <c r="E370" s="67" t="s">
        <v>145</v>
      </c>
      <c r="F370" s="67" t="s">
        <v>271</v>
      </c>
      <c r="G370" s="67">
        <v>37091.0</v>
      </c>
      <c r="H370" s="70" t="s">
        <v>197</v>
      </c>
      <c r="I370" s="70" t="s">
        <v>93</v>
      </c>
      <c r="J370" s="71"/>
      <c r="K370" s="245" t="s">
        <v>1481</v>
      </c>
      <c r="L370" s="380" t="s">
        <v>1619</v>
      </c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B371" s="60" t="s">
        <v>1483</v>
      </c>
      <c r="C371" s="60" t="s">
        <v>1484</v>
      </c>
      <c r="D371" s="67">
        <v>2.0</v>
      </c>
      <c r="E371" s="67" t="s">
        <v>54</v>
      </c>
      <c r="F371" s="67" t="s">
        <v>656</v>
      </c>
      <c r="G371" s="67">
        <v>37093.0</v>
      </c>
      <c r="H371" s="70" t="s">
        <v>175</v>
      </c>
      <c r="I371" s="70" t="s">
        <v>175</v>
      </c>
      <c r="J371" s="71"/>
      <c r="K371" s="85"/>
      <c r="L371" s="8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B372" s="60" t="s">
        <v>1485</v>
      </c>
      <c r="C372" s="60" t="s">
        <v>1486</v>
      </c>
      <c r="D372" s="67">
        <v>1.0</v>
      </c>
      <c r="E372" s="67" t="s">
        <v>24</v>
      </c>
      <c r="F372" s="67" t="s">
        <v>1620</v>
      </c>
      <c r="G372" s="67">
        <v>37099.0</v>
      </c>
      <c r="H372" s="70" t="s">
        <v>197</v>
      </c>
      <c r="I372" s="70" t="s">
        <v>93</v>
      </c>
      <c r="J372" s="71"/>
      <c r="K372" s="245" t="s">
        <v>1621</v>
      </c>
      <c r="L372" s="83" t="s">
        <v>1622</v>
      </c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B373" s="60" t="s">
        <v>1490</v>
      </c>
      <c r="C373" s="60" t="s">
        <v>1493</v>
      </c>
      <c r="D373" s="67">
        <v>2.0</v>
      </c>
      <c r="E373" s="67" t="s">
        <v>54</v>
      </c>
      <c r="F373" s="67" t="s">
        <v>545</v>
      </c>
      <c r="G373" s="67">
        <v>37101.0</v>
      </c>
      <c r="H373" s="70" t="s">
        <v>175</v>
      </c>
      <c r="I373" s="70" t="s">
        <v>175</v>
      </c>
      <c r="J373" s="71"/>
      <c r="K373" s="85"/>
      <c r="L373" s="8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B374" s="60" t="s">
        <v>1496</v>
      </c>
      <c r="C374" s="60" t="s">
        <v>1497</v>
      </c>
      <c r="D374" s="67">
        <v>1.0</v>
      </c>
      <c r="E374" s="67" t="s">
        <v>71</v>
      </c>
      <c r="F374" s="67" t="s">
        <v>271</v>
      </c>
      <c r="G374" s="67">
        <v>37095.0</v>
      </c>
      <c r="H374" s="70" t="s">
        <v>1230</v>
      </c>
      <c r="I374" s="70" t="s">
        <v>188</v>
      </c>
      <c r="J374" s="71"/>
      <c r="K374" s="245" t="s">
        <v>1336</v>
      </c>
      <c r="L374" s="83" t="s">
        <v>1623</v>
      </c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B375" s="60" t="s">
        <v>1502</v>
      </c>
      <c r="C375" s="60" t="s">
        <v>1503</v>
      </c>
      <c r="D375" s="67">
        <v>2.0</v>
      </c>
      <c r="E375" s="391" t="s">
        <v>24</v>
      </c>
      <c r="F375" s="391" t="s">
        <v>1145</v>
      </c>
      <c r="G375" s="67">
        <v>37097.0</v>
      </c>
      <c r="H375" s="70" t="s">
        <v>175</v>
      </c>
      <c r="I375" s="70" t="s">
        <v>175</v>
      </c>
      <c r="J375" s="71" t="s">
        <v>1624</v>
      </c>
      <c r="K375" s="85"/>
      <c r="L375" s="8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B376" s="60" t="s">
        <v>1508</v>
      </c>
      <c r="C376" s="60" t="s">
        <v>1509</v>
      </c>
      <c r="D376" s="67">
        <v>1.0</v>
      </c>
      <c r="E376" s="67" t="s">
        <v>71</v>
      </c>
      <c r="F376" s="67" t="s">
        <v>82</v>
      </c>
      <c r="G376" s="67">
        <v>37085.0</v>
      </c>
      <c r="H376" s="70" t="s">
        <v>151</v>
      </c>
      <c r="I376" s="70" t="s">
        <v>188</v>
      </c>
      <c r="J376" s="71"/>
      <c r="K376" s="245" t="s">
        <v>1130</v>
      </c>
      <c r="L376" s="83" t="s">
        <v>1625</v>
      </c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B377" s="60" t="s">
        <v>1512</v>
      </c>
      <c r="C377" s="60" t="s">
        <v>1513</v>
      </c>
      <c r="D377" s="67">
        <v>2.0</v>
      </c>
      <c r="E377" s="67" t="s">
        <v>83</v>
      </c>
      <c r="F377" s="67" t="s">
        <v>534</v>
      </c>
      <c r="G377" s="67">
        <v>37083.0</v>
      </c>
      <c r="H377" s="70" t="s">
        <v>175</v>
      </c>
      <c r="I377" s="70" t="s">
        <v>175</v>
      </c>
      <c r="J377" s="71"/>
      <c r="K377" s="85"/>
      <c r="L377" s="8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B378" s="60" t="s">
        <v>768</v>
      </c>
      <c r="C378" s="60" t="s">
        <v>1517</v>
      </c>
      <c r="D378" s="67">
        <v>1.5</v>
      </c>
      <c r="E378" s="67" t="s">
        <v>54</v>
      </c>
      <c r="F378" s="67" t="s">
        <v>645</v>
      </c>
      <c r="G378" s="67">
        <v>37103.0</v>
      </c>
      <c r="H378" s="70" t="s">
        <v>206</v>
      </c>
      <c r="I378" s="70" t="s">
        <v>154</v>
      </c>
      <c r="J378" s="327"/>
      <c r="K378" s="16" t="s">
        <v>70</v>
      </c>
      <c r="L378" s="73" t="s">
        <v>1626</v>
      </c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B379" s="60" t="s">
        <v>1521</v>
      </c>
      <c r="C379" s="60" t="s">
        <v>1522</v>
      </c>
      <c r="D379" s="67">
        <v>3.0</v>
      </c>
      <c r="E379" s="67" t="s">
        <v>54</v>
      </c>
      <c r="F379" s="67" t="s">
        <v>271</v>
      </c>
      <c r="G379" s="67">
        <v>37105.0</v>
      </c>
      <c r="H379" s="70" t="s">
        <v>197</v>
      </c>
      <c r="I379" s="70" t="s">
        <v>154</v>
      </c>
      <c r="J379" s="71"/>
      <c r="K379" s="70" t="s">
        <v>1498</v>
      </c>
      <c r="L379" s="73" t="s">
        <v>1627</v>
      </c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B380" s="60" t="s">
        <v>134</v>
      </c>
      <c r="C380" s="60" t="s">
        <v>1523</v>
      </c>
      <c r="D380" s="67">
        <v>3.0</v>
      </c>
      <c r="E380" s="67" t="s">
        <v>54</v>
      </c>
      <c r="F380" s="67" t="s">
        <v>82</v>
      </c>
      <c r="G380" s="67">
        <v>37107.0</v>
      </c>
      <c r="H380" s="70" t="s">
        <v>206</v>
      </c>
      <c r="I380" s="70" t="s">
        <v>154</v>
      </c>
      <c r="J380" s="71"/>
      <c r="K380" s="70" t="s">
        <v>1470</v>
      </c>
      <c r="L380" s="73" t="s">
        <v>1628</v>
      </c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B381" s="60" t="s">
        <v>1526</v>
      </c>
      <c r="C381" s="60" t="s">
        <v>1527</v>
      </c>
      <c r="D381" s="67">
        <v>1.0</v>
      </c>
      <c r="E381" s="67" t="s">
        <v>145</v>
      </c>
      <c r="F381" s="67" t="s">
        <v>1620</v>
      </c>
      <c r="G381" s="67">
        <v>37089.0</v>
      </c>
      <c r="H381" s="70" t="s">
        <v>197</v>
      </c>
      <c r="I381" s="70" t="s">
        <v>93</v>
      </c>
      <c r="J381" s="71"/>
      <c r="K381" s="245" t="s">
        <v>1629</v>
      </c>
      <c r="L381" s="412" t="s">
        <v>1630</v>
      </c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B382" s="60" t="s">
        <v>1529</v>
      </c>
      <c r="C382" s="60" t="s">
        <v>1530</v>
      </c>
      <c r="D382" s="67">
        <v>2.0</v>
      </c>
      <c r="E382" s="67" t="s">
        <v>83</v>
      </c>
      <c r="F382" s="67" t="s">
        <v>500</v>
      </c>
      <c r="G382" s="67">
        <v>37087.0</v>
      </c>
      <c r="H382" s="70" t="s">
        <v>175</v>
      </c>
      <c r="I382" s="70" t="s">
        <v>175</v>
      </c>
      <c r="J382" s="71"/>
      <c r="K382" s="85"/>
      <c r="L382" s="8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B383" s="131" t="s">
        <v>167</v>
      </c>
      <c r="C383" s="18"/>
      <c r="D383" s="400">
        <f>SUM(D370:D382)</f>
        <v>22.5</v>
      </c>
      <c r="E383" s="131" t="s">
        <v>167</v>
      </c>
      <c r="F383" s="13"/>
      <c r="G383" s="13"/>
      <c r="H383" s="13"/>
      <c r="I383" s="13"/>
      <c r="J383" s="13"/>
      <c r="K383" s="13"/>
      <c r="L383" s="18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129"/>
      <c r="B384" s="5"/>
      <c r="C384" s="5"/>
      <c r="D384" s="5"/>
      <c r="E384" s="5"/>
      <c r="F384" s="5"/>
      <c r="G384" s="5"/>
      <c r="H384" s="5"/>
      <c r="I384" s="5"/>
      <c r="J384" s="5"/>
      <c r="K384" s="92"/>
      <c r="L384" s="13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129"/>
      <c r="B385" s="5"/>
      <c r="C385" s="5"/>
      <c r="D385" s="5"/>
      <c r="E385" s="5"/>
      <c r="F385" s="5"/>
      <c r="G385" s="5"/>
      <c r="H385" s="5"/>
      <c r="I385" s="5"/>
      <c r="J385" s="5"/>
      <c r="K385" s="92"/>
      <c r="L385" s="13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409" t="s">
        <v>1631</v>
      </c>
      <c r="B386" s="360" t="s">
        <v>1631</v>
      </c>
      <c r="C386" s="13"/>
      <c r="D386" s="13"/>
      <c r="E386" s="13"/>
      <c r="F386" s="13"/>
      <c r="G386" s="13"/>
      <c r="H386" s="13"/>
      <c r="I386" s="13"/>
      <c r="J386" s="13"/>
      <c r="K386" s="13"/>
      <c r="L386" s="18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B387" s="20" t="s">
        <v>1</v>
      </c>
      <c r="C387" s="20" t="s">
        <v>2</v>
      </c>
      <c r="D387" s="20" t="s">
        <v>6</v>
      </c>
      <c r="E387" s="20" t="s">
        <v>4</v>
      </c>
      <c r="F387" s="20" t="s">
        <v>5</v>
      </c>
      <c r="G387" s="20" t="s">
        <v>3</v>
      </c>
      <c r="H387" s="20" t="s">
        <v>7</v>
      </c>
      <c r="I387" s="26" t="s">
        <v>27</v>
      </c>
      <c r="J387" s="28" t="s">
        <v>10</v>
      </c>
      <c r="K387" s="31" t="s">
        <v>8</v>
      </c>
      <c r="L387" s="32" t="s">
        <v>9</v>
      </c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B388" s="60" t="s">
        <v>1478</v>
      </c>
      <c r="C388" s="60" t="s">
        <v>1479</v>
      </c>
      <c r="D388" s="67">
        <v>1.0</v>
      </c>
      <c r="E388" s="67" t="s">
        <v>145</v>
      </c>
      <c r="F388" s="67" t="s">
        <v>118</v>
      </c>
      <c r="G388" s="67">
        <v>37115.0</v>
      </c>
      <c r="H388" s="70" t="s">
        <v>197</v>
      </c>
      <c r="I388" s="70" t="s">
        <v>93</v>
      </c>
      <c r="J388" s="71"/>
      <c r="K388" s="245" t="s">
        <v>1481</v>
      </c>
      <c r="L388" s="380" t="s">
        <v>1632</v>
      </c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B389" s="60" t="s">
        <v>1483</v>
      </c>
      <c r="C389" s="60" t="s">
        <v>1484</v>
      </c>
      <c r="D389" s="67">
        <v>2.0</v>
      </c>
      <c r="E389" s="67" t="s">
        <v>24</v>
      </c>
      <c r="F389" s="67" t="s">
        <v>500</v>
      </c>
      <c r="G389" s="67">
        <v>37117.0</v>
      </c>
      <c r="H389" s="70" t="s">
        <v>175</v>
      </c>
      <c r="I389" s="70" t="s">
        <v>175</v>
      </c>
      <c r="J389" s="71"/>
      <c r="K389" s="85"/>
      <c r="L389" s="8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B390" s="60" t="s">
        <v>1485</v>
      </c>
      <c r="C390" s="60" t="s">
        <v>1486</v>
      </c>
      <c r="D390" s="67">
        <v>1.0</v>
      </c>
      <c r="E390" s="67" t="s">
        <v>24</v>
      </c>
      <c r="F390" s="67" t="s">
        <v>1633</v>
      </c>
      <c r="G390" s="67">
        <v>37129.0</v>
      </c>
      <c r="H390" s="70" t="s">
        <v>197</v>
      </c>
      <c r="I390" s="70" t="s">
        <v>93</v>
      </c>
      <c r="J390" s="71"/>
      <c r="K390" s="245" t="s">
        <v>1621</v>
      </c>
      <c r="L390" s="83" t="s">
        <v>1634</v>
      </c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B391" s="60" t="s">
        <v>1490</v>
      </c>
      <c r="C391" s="60" t="s">
        <v>1493</v>
      </c>
      <c r="D391" s="67">
        <v>2.0</v>
      </c>
      <c r="E391" s="67" t="s">
        <v>54</v>
      </c>
      <c r="F391" s="67" t="s">
        <v>1138</v>
      </c>
      <c r="G391" s="67">
        <v>37131.0</v>
      </c>
      <c r="H391" s="70" t="s">
        <v>175</v>
      </c>
      <c r="I391" s="70" t="s">
        <v>175</v>
      </c>
      <c r="J391" s="71"/>
      <c r="K391" s="85"/>
      <c r="L391" s="8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B392" s="60" t="s">
        <v>1496</v>
      </c>
      <c r="C392" s="60" t="s">
        <v>1497</v>
      </c>
      <c r="D392" s="67">
        <v>1.0</v>
      </c>
      <c r="E392" s="67" t="s">
        <v>145</v>
      </c>
      <c r="F392" s="67" t="s">
        <v>271</v>
      </c>
      <c r="G392" s="67">
        <v>37119.0</v>
      </c>
      <c r="H392" s="70" t="s">
        <v>1230</v>
      </c>
      <c r="I392" s="70" t="s">
        <v>93</v>
      </c>
      <c r="J392" s="71"/>
      <c r="K392" s="245" t="s">
        <v>1336</v>
      </c>
      <c r="L392" s="83" t="s">
        <v>1635</v>
      </c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B393" s="60" t="s">
        <v>1502</v>
      </c>
      <c r="C393" s="60" t="s">
        <v>1503</v>
      </c>
      <c r="D393" s="67">
        <v>2.0</v>
      </c>
      <c r="E393" s="67" t="s">
        <v>24</v>
      </c>
      <c r="F393" s="67" t="s">
        <v>545</v>
      </c>
      <c r="G393" s="67">
        <v>37121.0</v>
      </c>
      <c r="H393" s="70" t="s">
        <v>175</v>
      </c>
      <c r="I393" s="70" t="s">
        <v>175</v>
      </c>
      <c r="J393" s="71"/>
      <c r="K393" s="85"/>
      <c r="L393" s="8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B394" s="60" t="s">
        <v>1508</v>
      </c>
      <c r="C394" s="60" t="s">
        <v>1509</v>
      </c>
      <c r="D394" s="67">
        <v>1.0</v>
      </c>
      <c r="E394" s="67" t="s">
        <v>71</v>
      </c>
      <c r="F394" s="67" t="s">
        <v>271</v>
      </c>
      <c r="G394" s="67">
        <v>37111.0</v>
      </c>
      <c r="H394" s="70" t="s">
        <v>151</v>
      </c>
      <c r="I394" s="70" t="s">
        <v>188</v>
      </c>
      <c r="J394" s="71"/>
      <c r="K394" s="245" t="s">
        <v>1130</v>
      </c>
      <c r="L394" s="83" t="s">
        <v>1636</v>
      </c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B395" s="60" t="s">
        <v>1512</v>
      </c>
      <c r="C395" s="60" t="s">
        <v>1513</v>
      </c>
      <c r="D395" s="67">
        <v>2.0</v>
      </c>
      <c r="E395" s="67" t="s">
        <v>83</v>
      </c>
      <c r="F395" s="67" t="s">
        <v>500</v>
      </c>
      <c r="G395" s="67">
        <v>37109.0</v>
      </c>
      <c r="H395" s="70" t="s">
        <v>175</v>
      </c>
      <c r="I395" s="70" t="s">
        <v>175</v>
      </c>
      <c r="J395" s="71"/>
      <c r="K395" s="85"/>
      <c r="L395" s="8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B396" s="60" t="s">
        <v>768</v>
      </c>
      <c r="C396" s="60" t="s">
        <v>1517</v>
      </c>
      <c r="D396" s="67">
        <v>1.5</v>
      </c>
      <c r="E396" s="67" t="s">
        <v>24</v>
      </c>
      <c r="F396" s="67" t="s">
        <v>645</v>
      </c>
      <c r="G396" s="67">
        <v>37127.0</v>
      </c>
      <c r="H396" s="70" t="s">
        <v>206</v>
      </c>
      <c r="I396" s="70" t="s">
        <v>93</v>
      </c>
      <c r="J396" s="71"/>
      <c r="K396" s="16" t="s">
        <v>104</v>
      </c>
      <c r="L396" s="74" t="s">
        <v>1637</v>
      </c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B397" s="60" t="s">
        <v>1521</v>
      </c>
      <c r="C397" s="60" t="s">
        <v>1522</v>
      </c>
      <c r="D397" s="67">
        <v>3.0</v>
      </c>
      <c r="E397" s="67" t="s">
        <v>54</v>
      </c>
      <c r="F397" s="67" t="s">
        <v>186</v>
      </c>
      <c r="G397" s="67">
        <v>37133.0</v>
      </c>
      <c r="H397" s="70" t="s">
        <v>197</v>
      </c>
      <c r="I397" s="70" t="s">
        <v>154</v>
      </c>
      <c r="J397" s="71"/>
      <c r="K397" s="70" t="s">
        <v>1498</v>
      </c>
      <c r="L397" s="242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B398" s="60" t="s">
        <v>134</v>
      </c>
      <c r="C398" s="60" t="s">
        <v>1523</v>
      </c>
      <c r="D398" s="67">
        <v>3.0</v>
      </c>
      <c r="E398" s="67" t="s">
        <v>145</v>
      </c>
      <c r="F398" s="67" t="s">
        <v>186</v>
      </c>
      <c r="G398" s="67">
        <v>37113.0</v>
      </c>
      <c r="H398" s="70" t="s">
        <v>215</v>
      </c>
      <c r="I398" s="70" t="s">
        <v>93</v>
      </c>
      <c r="J398" s="71"/>
      <c r="K398" s="70" t="s">
        <v>1403</v>
      </c>
      <c r="L398" s="413" t="s">
        <v>1638</v>
      </c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B399" s="60" t="s">
        <v>1526</v>
      </c>
      <c r="C399" s="60" t="s">
        <v>1527</v>
      </c>
      <c r="D399" s="67">
        <v>1.0</v>
      </c>
      <c r="E399" s="67" t="s">
        <v>71</v>
      </c>
      <c r="F399" s="67" t="s">
        <v>1620</v>
      </c>
      <c r="G399" s="67">
        <v>37123.0</v>
      </c>
      <c r="H399" s="70" t="s">
        <v>197</v>
      </c>
      <c r="I399" s="70" t="s">
        <v>188</v>
      </c>
      <c r="J399" s="71"/>
      <c r="K399" s="245" t="s">
        <v>1629</v>
      </c>
      <c r="L399" s="412" t="s">
        <v>1639</v>
      </c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B400" s="60" t="s">
        <v>1529</v>
      </c>
      <c r="C400" s="60" t="s">
        <v>1530</v>
      </c>
      <c r="D400" s="67">
        <v>2.0</v>
      </c>
      <c r="E400" s="67" t="s">
        <v>54</v>
      </c>
      <c r="F400" s="67" t="s">
        <v>500</v>
      </c>
      <c r="G400" s="67">
        <v>37125.0</v>
      </c>
      <c r="H400" s="70" t="s">
        <v>175</v>
      </c>
      <c r="I400" s="70" t="s">
        <v>175</v>
      </c>
      <c r="J400" s="71"/>
      <c r="K400" s="85"/>
      <c r="L400" s="8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B401" s="131" t="s">
        <v>167</v>
      </c>
      <c r="C401" s="18"/>
      <c r="D401" s="400">
        <f>SUM(D388:D400)</f>
        <v>22.5</v>
      </c>
      <c r="E401" s="131" t="s">
        <v>167</v>
      </c>
      <c r="F401" s="13"/>
      <c r="G401" s="13"/>
      <c r="H401" s="13"/>
      <c r="I401" s="13"/>
      <c r="J401" s="13"/>
      <c r="K401" s="13"/>
      <c r="L401" s="18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129"/>
      <c r="B402" s="5"/>
      <c r="C402" s="5"/>
      <c r="D402" s="5"/>
      <c r="E402" s="5"/>
      <c r="F402" s="5"/>
      <c r="G402" s="5"/>
      <c r="H402" s="5"/>
      <c r="I402" s="5"/>
      <c r="J402" s="5"/>
      <c r="K402" s="92"/>
      <c r="L402" s="13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129"/>
      <c r="B403" s="5"/>
      <c r="C403" s="5"/>
      <c r="D403" s="5"/>
      <c r="E403" s="5"/>
      <c r="F403" s="5"/>
      <c r="G403" s="5"/>
      <c r="H403" s="5"/>
      <c r="I403" s="5"/>
      <c r="J403" s="5"/>
      <c r="K403" s="92"/>
      <c r="L403" s="13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409" t="s">
        <v>1640</v>
      </c>
      <c r="B404" s="360" t="s">
        <v>1640</v>
      </c>
      <c r="C404" s="13"/>
      <c r="D404" s="13"/>
      <c r="E404" s="13"/>
      <c r="F404" s="13"/>
      <c r="G404" s="13"/>
      <c r="H404" s="13"/>
      <c r="I404" s="13"/>
      <c r="J404" s="13"/>
      <c r="K404" s="13"/>
      <c r="L404" s="18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B405" s="20" t="s">
        <v>1</v>
      </c>
      <c r="C405" s="20" t="s">
        <v>2</v>
      </c>
      <c r="D405" s="20" t="s">
        <v>6</v>
      </c>
      <c r="E405" s="20" t="s">
        <v>4</v>
      </c>
      <c r="F405" s="20" t="s">
        <v>5</v>
      </c>
      <c r="G405" s="20" t="s">
        <v>3</v>
      </c>
      <c r="H405" s="20" t="s">
        <v>7</v>
      </c>
      <c r="I405" s="26" t="s">
        <v>27</v>
      </c>
      <c r="J405" s="28" t="s">
        <v>10</v>
      </c>
      <c r="K405" s="31" t="s">
        <v>8</v>
      </c>
      <c r="L405" s="32" t="s">
        <v>9</v>
      </c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B406" s="60" t="s">
        <v>1478</v>
      </c>
      <c r="C406" s="60" t="s">
        <v>1479</v>
      </c>
      <c r="D406" s="67">
        <v>1.0</v>
      </c>
      <c r="E406" s="67" t="s">
        <v>145</v>
      </c>
      <c r="F406" s="67" t="s">
        <v>186</v>
      </c>
      <c r="G406" s="67">
        <v>37139.0</v>
      </c>
      <c r="H406" s="70" t="s">
        <v>197</v>
      </c>
      <c r="I406" s="70" t="s">
        <v>93</v>
      </c>
      <c r="J406" s="71"/>
      <c r="K406" s="245" t="s">
        <v>1481</v>
      </c>
      <c r="L406" s="380" t="s">
        <v>1641</v>
      </c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B407" s="60" t="s">
        <v>1483</v>
      </c>
      <c r="C407" s="60" t="s">
        <v>1484</v>
      </c>
      <c r="D407" s="67">
        <v>2.0</v>
      </c>
      <c r="E407" s="67" t="s">
        <v>54</v>
      </c>
      <c r="F407" s="67" t="s">
        <v>1575</v>
      </c>
      <c r="G407" s="67">
        <v>37141.0</v>
      </c>
      <c r="H407" s="70" t="s">
        <v>175</v>
      </c>
      <c r="I407" s="70" t="s">
        <v>175</v>
      </c>
      <c r="J407" s="71"/>
      <c r="K407" s="85"/>
      <c r="L407" s="8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B408" s="60" t="s">
        <v>1485</v>
      </c>
      <c r="C408" s="60" t="s">
        <v>1486</v>
      </c>
      <c r="D408" s="67">
        <v>1.0</v>
      </c>
      <c r="E408" s="67" t="s">
        <v>81</v>
      </c>
      <c r="F408" s="67" t="s">
        <v>1633</v>
      </c>
      <c r="G408" s="67">
        <v>37151.0</v>
      </c>
      <c r="H408" s="70" t="s">
        <v>197</v>
      </c>
      <c r="I408" s="70" t="s">
        <v>93</v>
      </c>
      <c r="J408" s="71"/>
      <c r="K408" s="245" t="s">
        <v>1621</v>
      </c>
      <c r="L408" s="83" t="s">
        <v>1642</v>
      </c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B409" s="60" t="s">
        <v>1490</v>
      </c>
      <c r="C409" s="60" t="s">
        <v>1493</v>
      </c>
      <c r="D409" s="67">
        <v>2.0</v>
      </c>
      <c r="E409" s="67" t="s">
        <v>81</v>
      </c>
      <c r="F409" s="67" t="s">
        <v>1452</v>
      </c>
      <c r="G409" s="67">
        <v>37149.0</v>
      </c>
      <c r="H409" s="70" t="s">
        <v>175</v>
      </c>
      <c r="I409" s="70" t="s">
        <v>175</v>
      </c>
      <c r="J409" s="71"/>
      <c r="K409" s="85"/>
      <c r="L409" s="8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B410" s="60" t="s">
        <v>1496</v>
      </c>
      <c r="C410" s="60" t="s">
        <v>1497</v>
      </c>
      <c r="D410" s="67">
        <v>1.0</v>
      </c>
      <c r="E410" s="67" t="s">
        <v>145</v>
      </c>
      <c r="F410" s="67" t="s">
        <v>118</v>
      </c>
      <c r="G410" s="67">
        <v>37143.0</v>
      </c>
      <c r="H410" s="70" t="s">
        <v>1230</v>
      </c>
      <c r="I410" s="70" t="s">
        <v>93</v>
      </c>
      <c r="J410" s="71"/>
      <c r="K410" s="245" t="s">
        <v>1336</v>
      </c>
      <c r="L410" s="83" t="s">
        <v>1643</v>
      </c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B411" s="60" t="s">
        <v>1502</v>
      </c>
      <c r="C411" s="60" t="s">
        <v>1503</v>
      </c>
      <c r="D411" s="67">
        <v>2.0</v>
      </c>
      <c r="E411" s="67" t="s">
        <v>24</v>
      </c>
      <c r="F411" s="67" t="s">
        <v>1644</v>
      </c>
      <c r="G411" s="67">
        <v>37145.0</v>
      </c>
      <c r="H411" s="70" t="s">
        <v>175</v>
      </c>
      <c r="I411" s="70" t="s">
        <v>175</v>
      </c>
      <c r="J411" s="71"/>
      <c r="K411" s="85"/>
      <c r="L411" s="8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B412" s="60" t="s">
        <v>1508</v>
      </c>
      <c r="C412" s="60" t="s">
        <v>1509</v>
      </c>
      <c r="D412" s="67">
        <v>1.0</v>
      </c>
      <c r="E412" s="67" t="s">
        <v>71</v>
      </c>
      <c r="F412" s="67" t="s">
        <v>118</v>
      </c>
      <c r="G412" s="67">
        <v>37137.0</v>
      </c>
      <c r="H412" s="70" t="s">
        <v>151</v>
      </c>
      <c r="I412" s="70" t="s">
        <v>188</v>
      </c>
      <c r="J412" s="71"/>
      <c r="K412" s="245" t="s">
        <v>1130</v>
      </c>
      <c r="L412" s="83" t="s">
        <v>1645</v>
      </c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B413" s="60" t="s">
        <v>1512</v>
      </c>
      <c r="C413" s="60" t="s">
        <v>1513</v>
      </c>
      <c r="D413" s="67">
        <v>2.0</v>
      </c>
      <c r="E413" s="67" t="s">
        <v>83</v>
      </c>
      <c r="F413" s="67" t="s">
        <v>1644</v>
      </c>
      <c r="G413" s="67">
        <v>37135.0</v>
      </c>
      <c r="H413" s="70" t="s">
        <v>175</v>
      </c>
      <c r="I413" s="70" t="s">
        <v>175</v>
      </c>
      <c r="J413" s="71"/>
      <c r="K413" s="85"/>
      <c r="L413" s="8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B414" s="60" t="s">
        <v>768</v>
      </c>
      <c r="C414" s="60" t="s">
        <v>1517</v>
      </c>
      <c r="D414" s="67">
        <v>1.5</v>
      </c>
      <c r="E414" s="67" t="s">
        <v>54</v>
      </c>
      <c r="F414" s="67" t="s">
        <v>365</v>
      </c>
      <c r="G414" s="67">
        <v>37157.0</v>
      </c>
      <c r="H414" s="70" t="s">
        <v>206</v>
      </c>
      <c r="I414" s="70" t="s">
        <v>93</v>
      </c>
      <c r="J414" s="71"/>
      <c r="K414" s="16" t="s">
        <v>367</v>
      </c>
      <c r="L414" s="139" t="s">
        <v>1646</v>
      </c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B415" s="60" t="s">
        <v>1521</v>
      </c>
      <c r="C415" s="60" t="s">
        <v>1522</v>
      </c>
      <c r="D415" s="67">
        <v>3.0</v>
      </c>
      <c r="E415" s="67" t="s">
        <v>54</v>
      </c>
      <c r="F415" s="67" t="s">
        <v>118</v>
      </c>
      <c r="G415" s="67">
        <v>37159.0</v>
      </c>
      <c r="H415" s="70" t="s">
        <v>197</v>
      </c>
      <c r="I415" s="70" t="s">
        <v>154</v>
      </c>
      <c r="J415" s="71"/>
      <c r="K415" s="70" t="s">
        <v>1498</v>
      </c>
      <c r="L415" s="73" t="s">
        <v>1647</v>
      </c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B416" s="60" t="s">
        <v>134</v>
      </c>
      <c r="C416" s="60" t="s">
        <v>1523</v>
      </c>
      <c r="D416" s="67">
        <v>3.0</v>
      </c>
      <c r="E416" s="67" t="s">
        <v>71</v>
      </c>
      <c r="F416" s="67" t="s">
        <v>186</v>
      </c>
      <c r="G416" s="67">
        <v>37147.0</v>
      </c>
      <c r="H416" s="70" t="s">
        <v>215</v>
      </c>
      <c r="I416" s="70" t="s">
        <v>93</v>
      </c>
      <c r="J416" s="71"/>
      <c r="K416" s="70" t="s">
        <v>1403</v>
      </c>
      <c r="L416" s="414" t="s">
        <v>1648</v>
      </c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B417" s="60" t="s">
        <v>1526</v>
      </c>
      <c r="C417" s="60" t="s">
        <v>1527</v>
      </c>
      <c r="D417" s="67">
        <v>1.0</v>
      </c>
      <c r="E417" s="67" t="s">
        <v>81</v>
      </c>
      <c r="F417" s="67" t="s">
        <v>1620</v>
      </c>
      <c r="G417" s="67">
        <v>37153.0</v>
      </c>
      <c r="H417" s="70" t="s">
        <v>197</v>
      </c>
      <c r="I417" s="70" t="s">
        <v>188</v>
      </c>
      <c r="J417" s="71"/>
      <c r="K417" s="245" t="s">
        <v>1629</v>
      </c>
      <c r="L417" s="412" t="s">
        <v>1649</v>
      </c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B418" s="60" t="s">
        <v>1529</v>
      </c>
      <c r="C418" s="60" t="s">
        <v>1530</v>
      </c>
      <c r="D418" s="67">
        <v>2.0</v>
      </c>
      <c r="E418" s="67" t="s">
        <v>54</v>
      </c>
      <c r="F418" s="67" t="s">
        <v>534</v>
      </c>
      <c r="G418" s="67">
        <v>37155.0</v>
      </c>
      <c r="H418" s="70" t="s">
        <v>175</v>
      </c>
      <c r="I418" s="70" t="s">
        <v>175</v>
      </c>
      <c r="J418" s="71"/>
      <c r="K418" s="85"/>
      <c r="L418" s="8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B419" s="131" t="s">
        <v>167</v>
      </c>
      <c r="C419" s="18"/>
      <c r="D419" s="400">
        <f>SUM(D406:D418)</f>
        <v>22.5</v>
      </c>
      <c r="E419" s="131" t="s">
        <v>167</v>
      </c>
      <c r="F419" s="13"/>
      <c r="G419" s="13"/>
      <c r="H419" s="13"/>
      <c r="I419" s="13"/>
      <c r="J419" s="13"/>
      <c r="K419" s="13"/>
      <c r="L419" s="18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129"/>
      <c r="B420" s="5"/>
      <c r="C420" s="5"/>
      <c r="D420" s="5"/>
      <c r="E420" s="5"/>
      <c r="F420" s="5"/>
      <c r="G420" s="5"/>
      <c r="H420" s="5"/>
      <c r="I420" s="5"/>
      <c r="J420" s="5"/>
      <c r="K420" s="92"/>
      <c r="L420" s="13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129"/>
      <c r="B421" s="5"/>
      <c r="C421" s="5"/>
      <c r="D421" s="5"/>
      <c r="E421" s="5"/>
      <c r="F421" s="5"/>
      <c r="G421" s="5"/>
      <c r="H421" s="5"/>
      <c r="I421" s="5"/>
      <c r="J421" s="5"/>
      <c r="K421" s="92"/>
      <c r="L421" s="13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38" t="str">
        <f>B422</f>
        <v>IT 401</v>
      </c>
      <c r="B422" s="42" t="s">
        <v>1650</v>
      </c>
      <c r="C422" s="13"/>
      <c r="D422" s="13"/>
      <c r="E422" s="13"/>
      <c r="F422" s="13"/>
      <c r="G422" s="13"/>
      <c r="H422" s="13"/>
      <c r="I422" s="13"/>
      <c r="J422" s="13"/>
      <c r="K422" s="13"/>
      <c r="L422" s="18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B423" s="20" t="s">
        <v>1</v>
      </c>
      <c r="C423" s="20" t="s">
        <v>2</v>
      </c>
      <c r="D423" s="20" t="s">
        <v>6</v>
      </c>
      <c r="E423" s="20" t="s">
        <v>4</v>
      </c>
      <c r="F423" s="20" t="s">
        <v>5</v>
      </c>
      <c r="G423" s="20" t="s">
        <v>3</v>
      </c>
      <c r="H423" s="20" t="s">
        <v>7</v>
      </c>
      <c r="I423" s="26" t="s">
        <v>27</v>
      </c>
      <c r="J423" s="28" t="s">
        <v>10</v>
      </c>
      <c r="K423" s="31" t="s">
        <v>8</v>
      </c>
      <c r="L423" s="32" t="s">
        <v>9</v>
      </c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B424" s="60" t="s">
        <v>792</v>
      </c>
      <c r="C424" s="60" t="s">
        <v>1651</v>
      </c>
      <c r="D424" s="67">
        <v>1.5</v>
      </c>
      <c r="E424" s="67" t="s">
        <v>54</v>
      </c>
      <c r="F424" s="67" t="s">
        <v>1652</v>
      </c>
      <c r="G424" s="67">
        <v>37165.0</v>
      </c>
      <c r="H424" s="70" t="s">
        <v>206</v>
      </c>
      <c r="I424" s="70" t="s">
        <v>188</v>
      </c>
      <c r="J424" s="71"/>
      <c r="K424" s="16" t="s">
        <v>70</v>
      </c>
      <c r="L424" s="415" t="s">
        <v>1653</v>
      </c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B425" s="60" t="s">
        <v>1654</v>
      </c>
      <c r="C425" s="60" t="s">
        <v>1655</v>
      </c>
      <c r="D425" s="67">
        <v>6.0</v>
      </c>
      <c r="E425" s="67" t="s">
        <v>54</v>
      </c>
      <c r="F425" s="67" t="s">
        <v>1656</v>
      </c>
      <c r="G425" s="67">
        <v>37167.0</v>
      </c>
      <c r="H425" s="71"/>
      <c r="I425" s="70" t="s">
        <v>188</v>
      </c>
      <c r="J425" s="71"/>
      <c r="K425" s="16"/>
      <c r="L425" s="415" t="s">
        <v>1657</v>
      </c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B426" s="60" t="s">
        <v>1658</v>
      </c>
      <c r="C426" s="60" t="s">
        <v>1659</v>
      </c>
      <c r="D426" s="67">
        <v>1.0</v>
      </c>
      <c r="E426" s="67" t="s">
        <v>54</v>
      </c>
      <c r="F426" s="67" t="s">
        <v>1660</v>
      </c>
      <c r="G426" s="67">
        <v>37163.0</v>
      </c>
      <c r="H426" s="70" t="s">
        <v>1230</v>
      </c>
      <c r="I426" s="70" t="s">
        <v>188</v>
      </c>
      <c r="J426" s="71"/>
      <c r="K426" s="80" t="s">
        <v>1153</v>
      </c>
      <c r="L426" s="353" t="s">
        <v>1661</v>
      </c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B427" s="60" t="s">
        <v>1662</v>
      </c>
      <c r="C427" s="60" t="s">
        <v>1663</v>
      </c>
      <c r="D427" s="67">
        <v>2.0</v>
      </c>
      <c r="E427" s="391" t="s">
        <v>24</v>
      </c>
      <c r="F427" s="391" t="s">
        <v>500</v>
      </c>
      <c r="G427" s="67">
        <v>37161.0</v>
      </c>
      <c r="H427" s="70" t="s">
        <v>175</v>
      </c>
      <c r="I427" s="70" t="s">
        <v>175</v>
      </c>
      <c r="J427" s="71" t="s">
        <v>1664</v>
      </c>
      <c r="K427" s="85"/>
      <c r="L427" s="120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B428" s="131" t="s">
        <v>167</v>
      </c>
      <c r="C428" s="13"/>
      <c r="D428" s="400">
        <f>SUM(D424:D427)</f>
        <v>10.5</v>
      </c>
      <c r="E428" s="131" t="s">
        <v>167</v>
      </c>
      <c r="F428" s="13"/>
      <c r="G428" s="13"/>
      <c r="H428" s="13"/>
      <c r="I428" s="13"/>
      <c r="J428" s="13"/>
      <c r="K428" s="13"/>
      <c r="L428" s="18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129"/>
      <c r="B429" s="5"/>
      <c r="C429" s="5"/>
      <c r="D429" s="5"/>
      <c r="E429" s="5"/>
      <c r="F429" s="5"/>
      <c r="G429" s="5"/>
      <c r="H429" s="5"/>
      <c r="I429" s="5"/>
      <c r="J429" s="5"/>
      <c r="K429" s="92"/>
      <c r="L429" s="13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129"/>
      <c r="B430" s="5"/>
      <c r="C430" s="5"/>
      <c r="D430" s="5"/>
      <c r="E430" s="5"/>
      <c r="F430" s="5"/>
      <c r="G430" s="5"/>
      <c r="H430" s="5"/>
      <c r="I430" s="5"/>
      <c r="J430" s="5"/>
      <c r="K430" s="92"/>
      <c r="L430" s="13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38" t="str">
        <f>B431</f>
        <v>IT 402</v>
      </c>
      <c r="B431" s="42" t="s">
        <v>1665</v>
      </c>
      <c r="C431" s="13"/>
      <c r="D431" s="13"/>
      <c r="E431" s="13"/>
      <c r="F431" s="13"/>
      <c r="G431" s="13"/>
      <c r="H431" s="13"/>
      <c r="I431" s="13"/>
      <c r="J431" s="13"/>
      <c r="K431" s="13"/>
      <c r="L431" s="18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B432" s="20" t="s">
        <v>1</v>
      </c>
      <c r="C432" s="20" t="s">
        <v>2</v>
      </c>
      <c r="D432" s="20" t="s">
        <v>6</v>
      </c>
      <c r="E432" s="20" t="s">
        <v>4</v>
      </c>
      <c r="F432" s="20" t="s">
        <v>5</v>
      </c>
      <c r="G432" s="20" t="s">
        <v>3</v>
      </c>
      <c r="H432" s="20" t="s">
        <v>7</v>
      </c>
      <c r="I432" s="26" t="s">
        <v>27</v>
      </c>
      <c r="J432" s="28" t="s">
        <v>10</v>
      </c>
      <c r="K432" s="31" t="s">
        <v>8</v>
      </c>
      <c r="L432" s="32" t="s">
        <v>9</v>
      </c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B433" s="60" t="s">
        <v>792</v>
      </c>
      <c r="C433" s="60" t="s">
        <v>1651</v>
      </c>
      <c r="D433" s="67">
        <v>1.5</v>
      </c>
      <c r="E433" s="67" t="s">
        <v>54</v>
      </c>
      <c r="F433" s="391" t="s">
        <v>863</v>
      </c>
      <c r="G433" s="67">
        <v>37171.0</v>
      </c>
      <c r="H433" s="70" t="s">
        <v>206</v>
      </c>
      <c r="I433" s="70" t="s">
        <v>188</v>
      </c>
      <c r="J433" s="416" t="s">
        <v>1666</v>
      </c>
      <c r="K433" s="16" t="s">
        <v>70</v>
      </c>
      <c r="L433" s="415" t="s">
        <v>1667</v>
      </c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B434" s="60" t="s">
        <v>1654</v>
      </c>
      <c r="C434" s="60" t="s">
        <v>1655</v>
      </c>
      <c r="D434" s="67">
        <v>6.0</v>
      </c>
      <c r="E434" s="67" t="s">
        <v>54</v>
      </c>
      <c r="F434" s="391" t="s">
        <v>1668</v>
      </c>
      <c r="G434" s="67">
        <v>37169.0</v>
      </c>
      <c r="H434" s="71"/>
      <c r="I434" s="70" t="s">
        <v>188</v>
      </c>
      <c r="J434" s="71" t="s">
        <v>1669</v>
      </c>
      <c r="K434" s="16" t="s">
        <v>1130</v>
      </c>
      <c r="L434" s="415" t="s">
        <v>1670</v>
      </c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B435" s="60" t="s">
        <v>1658</v>
      </c>
      <c r="C435" s="60" t="s">
        <v>1659</v>
      </c>
      <c r="D435" s="67">
        <v>1.0</v>
      </c>
      <c r="E435" s="67" t="s">
        <v>54</v>
      </c>
      <c r="F435" s="391" t="s">
        <v>1633</v>
      </c>
      <c r="G435" s="67">
        <v>37173.0</v>
      </c>
      <c r="H435" s="70" t="s">
        <v>1230</v>
      </c>
      <c r="I435" s="70" t="s">
        <v>188</v>
      </c>
      <c r="J435" s="71" t="s">
        <v>271</v>
      </c>
      <c r="K435" s="245" t="s">
        <v>1179</v>
      </c>
      <c r="L435" s="417" t="s">
        <v>1671</v>
      </c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B436" s="60" t="s">
        <v>1662</v>
      </c>
      <c r="C436" s="60" t="s">
        <v>1663</v>
      </c>
      <c r="D436" s="67">
        <v>2.0</v>
      </c>
      <c r="E436" s="391" t="s">
        <v>54</v>
      </c>
      <c r="F436" s="391" t="s">
        <v>500</v>
      </c>
      <c r="G436" s="67">
        <v>37175.0</v>
      </c>
      <c r="H436" s="70" t="s">
        <v>175</v>
      </c>
      <c r="I436" s="70" t="s">
        <v>175</v>
      </c>
      <c r="J436" s="71" t="s">
        <v>1458</v>
      </c>
      <c r="K436" s="85"/>
      <c r="L436" s="8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B437" s="131" t="s">
        <v>167</v>
      </c>
      <c r="C437" s="13"/>
      <c r="D437" s="400">
        <f>SUM(D433:D436)</f>
        <v>10.5</v>
      </c>
      <c r="E437" s="131" t="s">
        <v>167</v>
      </c>
      <c r="F437" s="13"/>
      <c r="G437" s="13"/>
      <c r="H437" s="13"/>
      <c r="I437" s="13"/>
      <c r="J437" s="13"/>
      <c r="K437" s="13"/>
      <c r="L437" s="18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129"/>
      <c r="B438" s="5"/>
      <c r="C438" s="5"/>
      <c r="D438" s="5"/>
      <c r="E438" s="5"/>
      <c r="F438" s="5"/>
      <c r="G438" s="5"/>
      <c r="H438" s="5"/>
      <c r="I438" s="5"/>
      <c r="J438" s="5"/>
      <c r="K438" s="92"/>
      <c r="L438" s="13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129"/>
      <c r="B439" s="5"/>
      <c r="C439" s="5"/>
      <c r="D439" s="5"/>
      <c r="E439" s="5"/>
      <c r="F439" s="5"/>
      <c r="G439" s="5"/>
      <c r="H439" s="5"/>
      <c r="I439" s="5"/>
      <c r="J439" s="5"/>
      <c r="K439" s="92"/>
      <c r="L439" s="13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38" t="str">
        <f>B440</f>
        <v>IT 403</v>
      </c>
      <c r="B440" s="360" t="s">
        <v>1672</v>
      </c>
      <c r="C440" s="13"/>
      <c r="D440" s="13"/>
      <c r="E440" s="13"/>
      <c r="F440" s="13"/>
      <c r="G440" s="13"/>
      <c r="H440" s="13"/>
      <c r="I440" s="13"/>
      <c r="J440" s="13"/>
      <c r="K440" s="13"/>
      <c r="L440" s="18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B441" s="20" t="s">
        <v>1</v>
      </c>
      <c r="C441" s="20" t="s">
        <v>2</v>
      </c>
      <c r="D441" s="20" t="s">
        <v>6</v>
      </c>
      <c r="E441" s="20" t="s">
        <v>4</v>
      </c>
      <c r="F441" s="20" t="s">
        <v>5</v>
      </c>
      <c r="G441" s="20" t="s">
        <v>3</v>
      </c>
      <c r="H441" s="20" t="s">
        <v>7</v>
      </c>
      <c r="I441" s="26" t="s">
        <v>27</v>
      </c>
      <c r="J441" s="28" t="s">
        <v>10</v>
      </c>
      <c r="K441" s="31" t="s">
        <v>8</v>
      </c>
      <c r="L441" s="32" t="s">
        <v>9</v>
      </c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B442" s="60" t="s">
        <v>792</v>
      </c>
      <c r="C442" s="60" t="s">
        <v>1651</v>
      </c>
      <c r="D442" s="67">
        <v>1.5</v>
      </c>
      <c r="E442" s="67" t="s">
        <v>54</v>
      </c>
      <c r="F442" s="67" t="s">
        <v>523</v>
      </c>
      <c r="G442" s="67">
        <v>37184.0</v>
      </c>
      <c r="H442" s="70" t="s">
        <v>206</v>
      </c>
      <c r="I442" s="70" t="s">
        <v>188</v>
      </c>
      <c r="J442" s="71"/>
      <c r="K442" s="70"/>
      <c r="L442" s="73" t="s">
        <v>1673</v>
      </c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B443" s="60" t="s">
        <v>1654</v>
      </c>
      <c r="C443" s="60" t="s">
        <v>1655</v>
      </c>
      <c r="D443" s="67">
        <v>6.0</v>
      </c>
      <c r="E443" s="67" t="s">
        <v>54</v>
      </c>
      <c r="F443" s="391" t="s">
        <v>1674</v>
      </c>
      <c r="G443" s="67">
        <v>37177.0</v>
      </c>
      <c r="H443" s="71"/>
      <c r="I443" s="70" t="s">
        <v>188</v>
      </c>
      <c r="J443" s="71" t="s">
        <v>1675</v>
      </c>
      <c r="K443" s="16"/>
      <c r="L443" s="73" t="s">
        <v>1676</v>
      </c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B444" s="60" t="s">
        <v>1658</v>
      </c>
      <c r="C444" s="60" t="s">
        <v>1659</v>
      </c>
      <c r="D444" s="67">
        <v>1.0</v>
      </c>
      <c r="E444" s="67" t="s">
        <v>54</v>
      </c>
      <c r="F444" s="391" t="s">
        <v>1677</v>
      </c>
      <c r="G444" s="67">
        <v>37182.0</v>
      </c>
      <c r="H444" s="70" t="s">
        <v>151</v>
      </c>
      <c r="I444" s="70" t="s">
        <v>188</v>
      </c>
      <c r="J444" s="71" t="s">
        <v>82</v>
      </c>
      <c r="K444" s="245" t="s">
        <v>1106</v>
      </c>
      <c r="L444" s="83" t="s">
        <v>1678</v>
      </c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B445" s="60" t="s">
        <v>1662</v>
      </c>
      <c r="C445" s="60" t="s">
        <v>1663</v>
      </c>
      <c r="D445" s="67">
        <v>2.0</v>
      </c>
      <c r="E445" s="67" t="s">
        <v>81</v>
      </c>
      <c r="F445" s="67" t="s">
        <v>500</v>
      </c>
      <c r="G445" s="67">
        <v>37180.0</v>
      </c>
      <c r="H445" s="70" t="s">
        <v>175</v>
      </c>
      <c r="I445" s="70" t="s">
        <v>175</v>
      </c>
      <c r="J445" s="71"/>
      <c r="K445" s="85"/>
      <c r="L445" s="8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B446" s="131" t="s">
        <v>167</v>
      </c>
      <c r="C446" s="13"/>
      <c r="D446" s="400">
        <f>SUM(D442:D445)</f>
        <v>10.5</v>
      </c>
      <c r="E446" s="131" t="s">
        <v>167</v>
      </c>
      <c r="F446" s="13"/>
      <c r="G446" s="13"/>
      <c r="H446" s="13"/>
      <c r="I446" s="13"/>
      <c r="J446" s="13"/>
      <c r="K446" s="13"/>
      <c r="L446" s="18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129"/>
      <c r="B447" s="5"/>
      <c r="C447" s="5"/>
      <c r="D447" s="5"/>
      <c r="E447" s="5"/>
      <c r="F447" s="5"/>
      <c r="G447" s="5"/>
      <c r="H447" s="5"/>
      <c r="I447" s="5"/>
      <c r="J447" s="5"/>
      <c r="K447" s="92"/>
      <c r="L447" s="13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129"/>
      <c r="B448" s="5"/>
      <c r="C448" s="5"/>
      <c r="D448" s="5"/>
      <c r="E448" s="5"/>
      <c r="F448" s="5"/>
      <c r="G448" s="5"/>
      <c r="H448" s="5"/>
      <c r="I448" s="5"/>
      <c r="J448" s="5"/>
      <c r="K448" s="92"/>
      <c r="L448" s="13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129"/>
      <c r="B449" s="5"/>
      <c r="C449" s="5"/>
      <c r="D449" s="5"/>
      <c r="E449" s="5"/>
      <c r="F449" s="5"/>
      <c r="G449" s="5"/>
      <c r="H449" s="5"/>
      <c r="I449" s="5"/>
      <c r="J449" s="5"/>
      <c r="K449" s="92"/>
      <c r="L449" s="13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129"/>
      <c r="B450" s="5"/>
      <c r="C450" s="5"/>
      <c r="D450" s="5"/>
      <c r="E450" s="5"/>
      <c r="F450" s="5"/>
      <c r="G450" s="5"/>
      <c r="H450" s="5"/>
      <c r="I450" s="5"/>
      <c r="J450" s="5"/>
      <c r="K450" s="92"/>
      <c r="L450" s="13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129"/>
      <c r="B451" s="5"/>
      <c r="C451" s="5"/>
      <c r="D451" s="5"/>
      <c r="E451" s="5"/>
      <c r="F451" s="5"/>
      <c r="G451" s="5"/>
      <c r="H451" s="5"/>
      <c r="I451" s="5"/>
      <c r="J451" s="5"/>
      <c r="K451" s="92"/>
      <c r="L451" s="13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129"/>
      <c r="B452" s="5"/>
      <c r="C452" s="5"/>
      <c r="D452" s="5"/>
      <c r="E452" s="5"/>
      <c r="F452" s="5"/>
      <c r="G452" s="5"/>
      <c r="H452" s="5"/>
      <c r="I452" s="5"/>
      <c r="J452" s="5"/>
      <c r="K452" s="92"/>
      <c r="L452" s="13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129"/>
      <c r="B453" s="5"/>
      <c r="C453" s="5"/>
      <c r="D453" s="5"/>
      <c r="E453" s="5"/>
      <c r="F453" s="5"/>
      <c r="G453" s="5"/>
      <c r="H453" s="5"/>
      <c r="I453" s="5"/>
      <c r="J453" s="5"/>
      <c r="K453" s="92"/>
      <c r="L453" s="13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129"/>
      <c r="B454" s="5"/>
      <c r="C454" s="5"/>
      <c r="D454" s="5"/>
      <c r="E454" s="5"/>
      <c r="F454" s="5"/>
      <c r="G454" s="5"/>
      <c r="H454" s="5"/>
      <c r="I454" s="5"/>
      <c r="J454" s="5"/>
      <c r="K454" s="92"/>
      <c r="L454" s="13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129"/>
      <c r="B455" s="5"/>
      <c r="C455" s="5"/>
      <c r="D455" s="5"/>
      <c r="E455" s="5"/>
      <c r="F455" s="5"/>
      <c r="G455" s="5"/>
      <c r="H455" s="5"/>
      <c r="I455" s="5"/>
      <c r="J455" s="5"/>
      <c r="K455" s="92"/>
      <c r="L455" s="13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129"/>
      <c r="B456" s="5"/>
      <c r="C456" s="5"/>
      <c r="D456" s="5"/>
      <c r="E456" s="5"/>
      <c r="F456" s="5"/>
      <c r="G456" s="5"/>
      <c r="H456" s="5"/>
      <c r="I456" s="5"/>
      <c r="J456" s="5"/>
      <c r="K456" s="92"/>
      <c r="L456" s="13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129"/>
      <c r="B457" s="5"/>
      <c r="C457" s="5"/>
      <c r="D457" s="5"/>
      <c r="E457" s="5"/>
      <c r="F457" s="5"/>
      <c r="G457" s="5"/>
      <c r="H457" s="5"/>
      <c r="I457" s="5"/>
      <c r="J457" s="5"/>
      <c r="K457" s="92"/>
      <c r="L457" s="13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129"/>
      <c r="B458" s="5"/>
      <c r="C458" s="5"/>
      <c r="D458" s="5"/>
      <c r="E458" s="5"/>
      <c r="F458" s="5"/>
      <c r="G458" s="5"/>
      <c r="H458" s="5"/>
      <c r="I458" s="5"/>
      <c r="J458" s="5"/>
      <c r="K458" s="92"/>
      <c r="L458" s="13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129"/>
      <c r="B459" s="5"/>
      <c r="C459" s="5"/>
      <c r="D459" s="5"/>
      <c r="E459" s="5"/>
      <c r="F459" s="5"/>
      <c r="G459" s="5"/>
      <c r="H459" s="5"/>
      <c r="I459" s="5"/>
      <c r="J459" s="5"/>
      <c r="K459" s="92"/>
      <c r="L459" s="13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129"/>
      <c r="B460" s="5"/>
      <c r="C460" s="5"/>
      <c r="D460" s="5"/>
      <c r="E460" s="5"/>
      <c r="F460" s="5"/>
      <c r="G460" s="5"/>
      <c r="H460" s="5"/>
      <c r="I460" s="5"/>
      <c r="J460" s="5"/>
      <c r="K460" s="92"/>
      <c r="L460" s="13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129"/>
      <c r="B461" s="5"/>
      <c r="C461" s="5"/>
      <c r="D461" s="5"/>
      <c r="E461" s="5"/>
      <c r="F461" s="5"/>
      <c r="G461" s="5"/>
      <c r="H461" s="5"/>
      <c r="I461" s="5"/>
      <c r="J461" s="5"/>
      <c r="K461" s="92"/>
      <c r="L461" s="13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129"/>
      <c r="B462" s="5"/>
      <c r="C462" s="5"/>
      <c r="D462" s="5"/>
      <c r="E462" s="5"/>
      <c r="F462" s="5"/>
      <c r="G462" s="5"/>
      <c r="H462" s="5"/>
      <c r="I462" s="5"/>
      <c r="J462" s="5"/>
      <c r="K462" s="92"/>
      <c r="L462" s="13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129"/>
      <c r="B463" s="5"/>
      <c r="C463" s="5"/>
      <c r="D463" s="5"/>
      <c r="E463" s="5"/>
      <c r="F463" s="5"/>
      <c r="G463" s="5"/>
      <c r="H463" s="5"/>
      <c r="I463" s="5"/>
      <c r="J463" s="5"/>
      <c r="K463" s="92"/>
      <c r="L463" s="13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129"/>
      <c r="B464" s="5"/>
      <c r="C464" s="5"/>
      <c r="D464" s="5"/>
      <c r="E464" s="5"/>
      <c r="F464" s="5"/>
      <c r="G464" s="5"/>
      <c r="H464" s="5"/>
      <c r="I464" s="5"/>
      <c r="J464" s="5"/>
      <c r="K464" s="92"/>
      <c r="L464" s="13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129"/>
      <c r="B465" s="5"/>
      <c r="C465" s="5"/>
      <c r="D465" s="5"/>
      <c r="E465" s="5"/>
      <c r="F465" s="5"/>
      <c r="G465" s="5"/>
      <c r="H465" s="5"/>
      <c r="I465" s="5"/>
      <c r="J465" s="5"/>
      <c r="K465" s="92"/>
      <c r="L465" s="13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129"/>
      <c r="B466" s="5"/>
      <c r="C466" s="5"/>
      <c r="D466" s="5"/>
      <c r="E466" s="5"/>
      <c r="F466" s="5"/>
      <c r="G466" s="5"/>
      <c r="H466" s="5"/>
      <c r="I466" s="5"/>
      <c r="J466" s="5"/>
      <c r="K466" s="92"/>
      <c r="L466" s="13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129"/>
      <c r="B467" s="5"/>
      <c r="C467" s="5"/>
      <c r="D467" s="5"/>
      <c r="E467" s="5"/>
      <c r="F467" s="5"/>
      <c r="G467" s="5"/>
      <c r="H467" s="5"/>
      <c r="I467" s="5"/>
      <c r="J467" s="5"/>
      <c r="K467" s="92"/>
      <c r="L467" s="13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129"/>
      <c r="B468" s="5"/>
      <c r="C468" s="5"/>
      <c r="D468" s="5"/>
      <c r="E468" s="5"/>
      <c r="F468" s="5"/>
      <c r="G468" s="5"/>
      <c r="H468" s="5"/>
      <c r="I468" s="5"/>
      <c r="J468" s="5"/>
      <c r="K468" s="92"/>
      <c r="L468" s="13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129"/>
      <c r="B469" s="5"/>
      <c r="C469" s="5"/>
      <c r="D469" s="5"/>
      <c r="E469" s="5"/>
      <c r="F469" s="5"/>
      <c r="G469" s="5"/>
      <c r="H469" s="5"/>
      <c r="I469" s="5"/>
      <c r="J469" s="5"/>
      <c r="K469" s="92"/>
      <c r="L469" s="13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129"/>
      <c r="B470" s="5"/>
      <c r="C470" s="5"/>
      <c r="D470" s="5"/>
      <c r="E470" s="5"/>
      <c r="F470" s="5"/>
      <c r="G470" s="5"/>
      <c r="H470" s="5"/>
      <c r="I470" s="5"/>
      <c r="J470" s="5"/>
      <c r="K470" s="92"/>
      <c r="L470" s="13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129"/>
      <c r="B471" s="5"/>
      <c r="C471" s="5"/>
      <c r="D471" s="5"/>
      <c r="E471" s="5"/>
      <c r="F471" s="5"/>
      <c r="G471" s="5"/>
      <c r="H471" s="5"/>
      <c r="I471" s="5"/>
      <c r="J471" s="5"/>
      <c r="K471" s="92"/>
      <c r="L471" s="13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129"/>
      <c r="B472" s="5"/>
      <c r="C472" s="5"/>
      <c r="D472" s="5"/>
      <c r="E472" s="5"/>
      <c r="F472" s="5"/>
      <c r="G472" s="5"/>
      <c r="H472" s="5"/>
      <c r="I472" s="5"/>
      <c r="J472" s="5"/>
      <c r="K472" s="92"/>
      <c r="L472" s="13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129"/>
      <c r="B473" s="5"/>
      <c r="C473" s="5"/>
      <c r="D473" s="5"/>
      <c r="E473" s="5"/>
      <c r="F473" s="5"/>
      <c r="G473" s="5"/>
      <c r="H473" s="5"/>
      <c r="I473" s="5"/>
      <c r="J473" s="5"/>
      <c r="K473" s="92"/>
      <c r="L473" s="13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129"/>
      <c r="B474" s="5"/>
      <c r="C474" s="5"/>
      <c r="D474" s="5"/>
      <c r="E474" s="5"/>
      <c r="F474" s="5"/>
      <c r="G474" s="5"/>
      <c r="H474" s="5"/>
      <c r="I474" s="5"/>
      <c r="J474" s="5"/>
      <c r="K474" s="92"/>
      <c r="L474" s="13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129"/>
      <c r="B475" s="5"/>
      <c r="C475" s="5"/>
      <c r="D475" s="5"/>
      <c r="E475" s="5"/>
      <c r="F475" s="5"/>
      <c r="G475" s="5"/>
      <c r="H475" s="5"/>
      <c r="I475" s="5"/>
      <c r="J475" s="5"/>
      <c r="K475" s="92"/>
      <c r="L475" s="13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129"/>
      <c r="B476" s="5"/>
      <c r="C476" s="5"/>
      <c r="D476" s="5"/>
      <c r="E476" s="5"/>
      <c r="F476" s="5"/>
      <c r="G476" s="5"/>
      <c r="H476" s="5"/>
      <c r="I476" s="5"/>
      <c r="J476" s="5"/>
      <c r="K476" s="92"/>
      <c r="L476" s="13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129"/>
      <c r="B477" s="5"/>
      <c r="C477" s="5"/>
      <c r="D477" s="5"/>
      <c r="E477" s="5"/>
      <c r="F477" s="5"/>
      <c r="G477" s="5"/>
      <c r="H477" s="5"/>
      <c r="I477" s="5"/>
      <c r="J477" s="5"/>
      <c r="K477" s="92"/>
      <c r="L477" s="13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129"/>
      <c r="B478" s="5"/>
      <c r="C478" s="5"/>
      <c r="D478" s="5"/>
      <c r="E478" s="5"/>
      <c r="F478" s="5"/>
      <c r="G478" s="5"/>
      <c r="H478" s="5"/>
      <c r="I478" s="5"/>
      <c r="J478" s="5"/>
      <c r="K478" s="92"/>
      <c r="L478" s="13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129"/>
      <c r="B479" s="5"/>
      <c r="C479" s="5"/>
      <c r="D479" s="5"/>
      <c r="E479" s="5"/>
      <c r="F479" s="5"/>
      <c r="G479" s="5"/>
      <c r="H479" s="5"/>
      <c r="I479" s="5"/>
      <c r="J479" s="5"/>
      <c r="K479" s="92"/>
      <c r="L479" s="13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129"/>
      <c r="B480" s="5"/>
      <c r="C480" s="5"/>
      <c r="D480" s="5"/>
      <c r="E480" s="5"/>
      <c r="F480" s="5"/>
      <c r="G480" s="5"/>
      <c r="H480" s="5"/>
      <c r="I480" s="5"/>
      <c r="J480" s="5"/>
      <c r="K480" s="92"/>
      <c r="L480" s="13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129"/>
      <c r="B481" s="5"/>
      <c r="C481" s="5"/>
      <c r="D481" s="5"/>
      <c r="E481" s="5"/>
      <c r="F481" s="5"/>
      <c r="G481" s="5"/>
      <c r="H481" s="5"/>
      <c r="I481" s="5"/>
      <c r="J481" s="5"/>
      <c r="K481" s="92"/>
      <c r="L481" s="13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129"/>
      <c r="B482" s="5"/>
      <c r="C482" s="5"/>
      <c r="D482" s="5"/>
      <c r="E482" s="5"/>
      <c r="F482" s="5"/>
      <c r="G482" s="5"/>
      <c r="H482" s="5"/>
      <c r="I482" s="5"/>
      <c r="J482" s="5"/>
      <c r="K482" s="92"/>
      <c r="L482" s="13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129"/>
      <c r="B483" s="5"/>
      <c r="C483" s="5"/>
      <c r="D483" s="5"/>
      <c r="E483" s="5"/>
      <c r="F483" s="5"/>
      <c r="G483" s="5"/>
      <c r="H483" s="5"/>
      <c r="I483" s="5"/>
      <c r="J483" s="5"/>
      <c r="K483" s="92"/>
      <c r="L483" s="13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129"/>
      <c r="B484" s="5"/>
      <c r="C484" s="5"/>
      <c r="D484" s="5"/>
      <c r="E484" s="5"/>
      <c r="F484" s="5"/>
      <c r="G484" s="5"/>
      <c r="H484" s="5"/>
      <c r="I484" s="5"/>
      <c r="J484" s="5"/>
      <c r="K484" s="92"/>
      <c r="L484" s="13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129"/>
      <c r="B485" s="5"/>
      <c r="C485" s="5"/>
      <c r="D485" s="5"/>
      <c r="E485" s="5"/>
      <c r="F485" s="5"/>
      <c r="G485" s="5"/>
      <c r="H485" s="5"/>
      <c r="I485" s="5"/>
      <c r="J485" s="5"/>
      <c r="K485" s="92"/>
      <c r="L485" s="13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129"/>
      <c r="B486" s="5"/>
      <c r="C486" s="5"/>
      <c r="D486" s="5"/>
      <c r="E486" s="5"/>
      <c r="F486" s="5"/>
      <c r="G486" s="5"/>
      <c r="H486" s="5"/>
      <c r="I486" s="5"/>
      <c r="J486" s="5"/>
      <c r="K486" s="92"/>
      <c r="L486" s="13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129"/>
      <c r="B487" s="5"/>
      <c r="C487" s="5"/>
      <c r="D487" s="5"/>
      <c r="E487" s="5"/>
      <c r="F487" s="5"/>
      <c r="G487" s="5"/>
      <c r="H487" s="5"/>
      <c r="I487" s="5"/>
      <c r="J487" s="5"/>
      <c r="K487" s="92"/>
      <c r="L487" s="13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129"/>
      <c r="B488" s="5"/>
      <c r="C488" s="5"/>
      <c r="D488" s="5"/>
      <c r="E488" s="5"/>
      <c r="F488" s="5"/>
      <c r="G488" s="5"/>
      <c r="H488" s="5"/>
      <c r="I488" s="5"/>
      <c r="J488" s="5"/>
      <c r="K488" s="92"/>
      <c r="L488" s="13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129"/>
      <c r="B489" s="5"/>
      <c r="C489" s="5"/>
      <c r="D489" s="5"/>
      <c r="E489" s="5"/>
      <c r="F489" s="5"/>
      <c r="G489" s="5"/>
      <c r="H489" s="5"/>
      <c r="I489" s="5"/>
      <c r="J489" s="5"/>
      <c r="K489" s="92"/>
      <c r="L489" s="13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129"/>
      <c r="B490" s="5"/>
      <c r="C490" s="5"/>
      <c r="D490" s="5"/>
      <c r="E490" s="5"/>
      <c r="F490" s="5"/>
      <c r="G490" s="5"/>
      <c r="H490" s="5"/>
      <c r="I490" s="5"/>
      <c r="J490" s="5"/>
      <c r="K490" s="92"/>
      <c r="L490" s="13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129"/>
      <c r="B491" s="5"/>
      <c r="C491" s="5"/>
      <c r="D491" s="5"/>
      <c r="E491" s="5"/>
      <c r="F491" s="5"/>
      <c r="G491" s="5"/>
      <c r="H491" s="5"/>
      <c r="I491" s="5"/>
      <c r="J491" s="5"/>
      <c r="K491" s="92"/>
      <c r="L491" s="13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129"/>
      <c r="B492" s="5"/>
      <c r="C492" s="5"/>
      <c r="D492" s="5"/>
      <c r="E492" s="5"/>
      <c r="F492" s="5"/>
      <c r="G492" s="5"/>
      <c r="H492" s="5"/>
      <c r="I492" s="5"/>
      <c r="J492" s="5"/>
      <c r="K492" s="92"/>
      <c r="L492" s="13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129"/>
      <c r="B493" s="5"/>
      <c r="C493" s="5"/>
      <c r="D493" s="5"/>
      <c r="E493" s="5"/>
      <c r="F493" s="5"/>
      <c r="G493" s="5"/>
      <c r="H493" s="5"/>
      <c r="I493" s="5"/>
      <c r="J493" s="5"/>
      <c r="K493" s="92"/>
      <c r="L493" s="13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129"/>
      <c r="B494" s="5"/>
      <c r="C494" s="5"/>
      <c r="D494" s="5"/>
      <c r="E494" s="5"/>
      <c r="F494" s="5"/>
      <c r="G494" s="5"/>
      <c r="H494" s="5"/>
      <c r="I494" s="5"/>
      <c r="J494" s="5"/>
      <c r="K494" s="92"/>
      <c r="L494" s="13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129"/>
      <c r="B495" s="5"/>
      <c r="C495" s="5"/>
      <c r="D495" s="5"/>
      <c r="E495" s="5"/>
      <c r="F495" s="5"/>
      <c r="G495" s="5"/>
      <c r="H495" s="5"/>
      <c r="I495" s="5"/>
      <c r="J495" s="5"/>
      <c r="K495" s="92"/>
      <c r="L495" s="13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129"/>
      <c r="B496" s="5"/>
      <c r="C496" s="5"/>
      <c r="D496" s="5"/>
      <c r="E496" s="5"/>
      <c r="F496" s="5"/>
      <c r="G496" s="5"/>
      <c r="H496" s="5"/>
      <c r="I496" s="5"/>
      <c r="J496" s="5"/>
      <c r="K496" s="92"/>
      <c r="L496" s="13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129"/>
      <c r="B497" s="5"/>
      <c r="C497" s="5"/>
      <c r="D497" s="5"/>
      <c r="E497" s="5"/>
      <c r="F497" s="5"/>
      <c r="G497" s="5"/>
      <c r="H497" s="5"/>
      <c r="I497" s="5"/>
      <c r="J497" s="5"/>
      <c r="K497" s="92"/>
      <c r="L497" s="13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129"/>
      <c r="B498" s="5"/>
      <c r="C498" s="5"/>
      <c r="D498" s="5"/>
      <c r="E498" s="5"/>
      <c r="F498" s="5"/>
      <c r="G498" s="5"/>
      <c r="H498" s="5"/>
      <c r="I498" s="5"/>
      <c r="J498" s="5"/>
      <c r="K498" s="92"/>
      <c r="L498" s="13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129"/>
      <c r="B499" s="5"/>
      <c r="C499" s="5"/>
      <c r="D499" s="5"/>
      <c r="E499" s="5"/>
      <c r="F499" s="5"/>
      <c r="G499" s="5"/>
      <c r="H499" s="5"/>
      <c r="I499" s="5"/>
      <c r="J499" s="5"/>
      <c r="K499" s="92"/>
      <c r="L499" s="13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129"/>
      <c r="B500" s="5"/>
      <c r="C500" s="5"/>
      <c r="D500" s="5"/>
      <c r="E500" s="5"/>
      <c r="F500" s="5"/>
      <c r="G500" s="5"/>
      <c r="H500" s="5"/>
      <c r="I500" s="5"/>
      <c r="J500" s="5"/>
      <c r="K500" s="92"/>
      <c r="L500" s="13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129"/>
      <c r="B501" s="5"/>
      <c r="C501" s="5"/>
      <c r="D501" s="5"/>
      <c r="E501" s="5"/>
      <c r="F501" s="5"/>
      <c r="G501" s="5"/>
      <c r="H501" s="5"/>
      <c r="I501" s="5"/>
      <c r="J501" s="5"/>
      <c r="K501" s="92"/>
      <c r="L501" s="13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129"/>
      <c r="B502" s="5"/>
      <c r="C502" s="5"/>
      <c r="D502" s="5"/>
      <c r="E502" s="5"/>
      <c r="F502" s="5"/>
      <c r="G502" s="5"/>
      <c r="H502" s="5"/>
      <c r="I502" s="5"/>
      <c r="J502" s="5"/>
      <c r="K502" s="92"/>
      <c r="L502" s="13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129"/>
      <c r="B503" s="5"/>
      <c r="C503" s="5"/>
      <c r="D503" s="5"/>
      <c r="E503" s="5"/>
      <c r="F503" s="5"/>
      <c r="G503" s="5"/>
      <c r="H503" s="5"/>
      <c r="I503" s="5"/>
      <c r="J503" s="5"/>
      <c r="K503" s="92"/>
      <c r="L503" s="13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129"/>
      <c r="B504" s="5"/>
      <c r="C504" s="5"/>
      <c r="D504" s="5"/>
      <c r="E504" s="5"/>
      <c r="F504" s="5"/>
      <c r="G504" s="5"/>
      <c r="H504" s="5"/>
      <c r="I504" s="5"/>
      <c r="J504" s="5"/>
      <c r="K504" s="92"/>
      <c r="L504" s="13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129"/>
      <c r="B505" s="5"/>
      <c r="C505" s="5"/>
      <c r="D505" s="5"/>
      <c r="E505" s="5"/>
      <c r="F505" s="5"/>
      <c r="G505" s="5"/>
      <c r="H505" s="5"/>
      <c r="I505" s="5"/>
      <c r="J505" s="5"/>
      <c r="K505" s="92"/>
      <c r="L505" s="13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129"/>
      <c r="B506" s="5"/>
      <c r="C506" s="5"/>
      <c r="D506" s="5"/>
      <c r="E506" s="5"/>
      <c r="F506" s="5"/>
      <c r="G506" s="5"/>
      <c r="H506" s="5"/>
      <c r="I506" s="5"/>
      <c r="J506" s="5"/>
      <c r="K506" s="92"/>
      <c r="L506" s="13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129"/>
      <c r="B507" s="5"/>
      <c r="C507" s="5"/>
      <c r="D507" s="5"/>
      <c r="E507" s="5"/>
      <c r="F507" s="5"/>
      <c r="G507" s="5"/>
      <c r="H507" s="5"/>
      <c r="I507" s="5"/>
      <c r="J507" s="5"/>
      <c r="K507" s="92"/>
      <c r="L507" s="13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129"/>
      <c r="B508" s="5"/>
      <c r="C508" s="5"/>
      <c r="D508" s="5"/>
      <c r="E508" s="5"/>
      <c r="F508" s="5"/>
      <c r="G508" s="5"/>
      <c r="H508" s="5"/>
      <c r="I508" s="5"/>
      <c r="J508" s="5"/>
      <c r="K508" s="92"/>
      <c r="L508" s="13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129"/>
      <c r="B509" s="5"/>
      <c r="C509" s="5"/>
      <c r="D509" s="5"/>
      <c r="E509" s="5"/>
      <c r="F509" s="5"/>
      <c r="G509" s="5"/>
      <c r="H509" s="5"/>
      <c r="I509" s="5"/>
      <c r="J509" s="5"/>
      <c r="K509" s="92"/>
      <c r="L509" s="13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129"/>
      <c r="B510" s="5"/>
      <c r="C510" s="5"/>
      <c r="D510" s="5"/>
      <c r="E510" s="5"/>
      <c r="F510" s="5"/>
      <c r="G510" s="5"/>
      <c r="H510" s="5"/>
      <c r="I510" s="5"/>
      <c r="J510" s="5"/>
      <c r="K510" s="92"/>
      <c r="L510" s="13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129"/>
      <c r="B511" s="5"/>
      <c r="C511" s="5"/>
      <c r="D511" s="5"/>
      <c r="E511" s="5"/>
      <c r="F511" s="5"/>
      <c r="G511" s="5"/>
      <c r="H511" s="5"/>
      <c r="I511" s="5"/>
      <c r="J511" s="5"/>
      <c r="K511" s="92"/>
      <c r="L511" s="13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129"/>
      <c r="B512" s="5"/>
      <c r="C512" s="5"/>
      <c r="D512" s="5"/>
      <c r="E512" s="5"/>
      <c r="F512" s="5"/>
      <c r="G512" s="5"/>
      <c r="H512" s="5"/>
      <c r="I512" s="5"/>
      <c r="J512" s="5"/>
      <c r="K512" s="92"/>
      <c r="L512" s="13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129"/>
      <c r="B513" s="5"/>
      <c r="C513" s="5"/>
      <c r="D513" s="5"/>
      <c r="E513" s="5"/>
      <c r="F513" s="5"/>
      <c r="G513" s="5"/>
      <c r="H513" s="5"/>
      <c r="I513" s="5"/>
      <c r="J513" s="5"/>
      <c r="K513" s="92"/>
      <c r="L513" s="13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129"/>
      <c r="B514" s="5"/>
      <c r="C514" s="5"/>
      <c r="D514" s="5"/>
      <c r="E514" s="5"/>
      <c r="F514" s="5"/>
      <c r="G514" s="5"/>
      <c r="H514" s="5"/>
      <c r="I514" s="5"/>
      <c r="J514" s="5"/>
      <c r="K514" s="92"/>
      <c r="L514" s="13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129"/>
      <c r="B515" s="5"/>
      <c r="C515" s="5"/>
      <c r="D515" s="5"/>
      <c r="E515" s="5"/>
      <c r="F515" s="5"/>
      <c r="G515" s="5"/>
      <c r="H515" s="5"/>
      <c r="I515" s="5"/>
      <c r="J515" s="5"/>
      <c r="K515" s="92"/>
      <c r="L515" s="13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129"/>
      <c r="B516" s="5"/>
      <c r="C516" s="5"/>
      <c r="D516" s="5"/>
      <c r="E516" s="5"/>
      <c r="F516" s="5"/>
      <c r="G516" s="5"/>
      <c r="H516" s="5"/>
      <c r="I516" s="5"/>
      <c r="J516" s="5"/>
      <c r="K516" s="92"/>
      <c r="L516" s="13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129"/>
      <c r="B517" s="5"/>
      <c r="C517" s="5"/>
      <c r="D517" s="5"/>
      <c r="E517" s="5"/>
      <c r="F517" s="5"/>
      <c r="G517" s="5"/>
      <c r="H517" s="5"/>
      <c r="I517" s="5"/>
      <c r="J517" s="5"/>
      <c r="K517" s="92"/>
      <c r="L517" s="13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129"/>
      <c r="B518" s="5"/>
      <c r="C518" s="5"/>
      <c r="D518" s="5"/>
      <c r="E518" s="5"/>
      <c r="F518" s="5"/>
      <c r="G518" s="5"/>
      <c r="H518" s="5"/>
      <c r="I518" s="5"/>
      <c r="J518" s="5"/>
      <c r="K518" s="92"/>
      <c r="L518" s="13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129"/>
      <c r="B519" s="5"/>
      <c r="C519" s="5"/>
      <c r="D519" s="5"/>
      <c r="E519" s="5"/>
      <c r="F519" s="5"/>
      <c r="G519" s="5"/>
      <c r="H519" s="5"/>
      <c r="I519" s="5"/>
      <c r="J519" s="5"/>
      <c r="K519" s="92"/>
      <c r="L519" s="13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129"/>
      <c r="B520" s="5"/>
      <c r="C520" s="5"/>
      <c r="D520" s="5"/>
      <c r="E520" s="5"/>
      <c r="F520" s="5"/>
      <c r="G520" s="5"/>
      <c r="H520" s="5"/>
      <c r="I520" s="5"/>
      <c r="J520" s="5"/>
      <c r="K520" s="92"/>
      <c r="L520" s="13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129"/>
      <c r="B521" s="5"/>
      <c r="C521" s="5"/>
      <c r="D521" s="5"/>
      <c r="E521" s="5"/>
      <c r="F521" s="5"/>
      <c r="G521" s="5"/>
      <c r="H521" s="5"/>
      <c r="I521" s="5"/>
      <c r="J521" s="5"/>
      <c r="K521" s="92"/>
      <c r="L521" s="13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129"/>
      <c r="B522" s="5"/>
      <c r="C522" s="5"/>
      <c r="D522" s="5"/>
      <c r="E522" s="5"/>
      <c r="F522" s="5"/>
      <c r="G522" s="5"/>
      <c r="H522" s="5"/>
      <c r="I522" s="5"/>
      <c r="J522" s="5"/>
      <c r="K522" s="92"/>
      <c r="L522" s="13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129"/>
      <c r="B523" s="5"/>
      <c r="C523" s="5"/>
      <c r="D523" s="5"/>
      <c r="E523" s="5"/>
      <c r="F523" s="5"/>
      <c r="G523" s="5"/>
      <c r="H523" s="5"/>
      <c r="I523" s="5"/>
      <c r="J523" s="5"/>
      <c r="K523" s="92"/>
      <c r="L523" s="13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129"/>
      <c r="B524" s="5"/>
      <c r="C524" s="5"/>
      <c r="D524" s="5"/>
      <c r="E524" s="5"/>
      <c r="F524" s="5"/>
      <c r="G524" s="5"/>
      <c r="H524" s="5"/>
      <c r="I524" s="5"/>
      <c r="J524" s="5"/>
      <c r="K524" s="92"/>
      <c r="L524" s="13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129"/>
      <c r="B525" s="5"/>
      <c r="C525" s="5"/>
      <c r="D525" s="5"/>
      <c r="E525" s="5"/>
      <c r="F525" s="5"/>
      <c r="G525" s="5"/>
      <c r="H525" s="5"/>
      <c r="I525" s="5"/>
      <c r="J525" s="5"/>
      <c r="K525" s="92"/>
      <c r="L525" s="13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129"/>
      <c r="B526" s="5"/>
      <c r="C526" s="5"/>
      <c r="D526" s="5"/>
      <c r="E526" s="5"/>
      <c r="F526" s="5"/>
      <c r="G526" s="5"/>
      <c r="H526" s="5"/>
      <c r="I526" s="5"/>
      <c r="J526" s="5"/>
      <c r="K526" s="92"/>
      <c r="L526" s="13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129"/>
      <c r="B527" s="5"/>
      <c r="C527" s="5"/>
      <c r="D527" s="5"/>
      <c r="E527" s="5"/>
      <c r="F527" s="5"/>
      <c r="G527" s="5"/>
      <c r="H527" s="5"/>
      <c r="I527" s="5"/>
      <c r="J527" s="5"/>
      <c r="K527" s="92"/>
      <c r="L527" s="13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129"/>
      <c r="B528" s="5"/>
      <c r="C528" s="5"/>
      <c r="D528" s="5"/>
      <c r="E528" s="5"/>
      <c r="F528" s="5"/>
      <c r="G528" s="5"/>
      <c r="H528" s="5"/>
      <c r="I528" s="5"/>
      <c r="J528" s="5"/>
      <c r="K528" s="92"/>
      <c r="L528" s="13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129"/>
      <c r="B529" s="5"/>
      <c r="C529" s="5"/>
      <c r="D529" s="5"/>
      <c r="E529" s="5"/>
      <c r="F529" s="5"/>
      <c r="G529" s="5"/>
      <c r="H529" s="5"/>
      <c r="I529" s="5"/>
      <c r="J529" s="5"/>
      <c r="K529" s="92"/>
      <c r="L529" s="13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129"/>
      <c r="B530" s="5"/>
      <c r="C530" s="5"/>
      <c r="D530" s="5"/>
      <c r="E530" s="5"/>
      <c r="F530" s="5"/>
      <c r="G530" s="5"/>
      <c r="H530" s="5"/>
      <c r="I530" s="5"/>
      <c r="J530" s="5"/>
      <c r="K530" s="92"/>
      <c r="L530" s="13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129"/>
      <c r="B531" s="5"/>
      <c r="C531" s="5"/>
      <c r="D531" s="5"/>
      <c r="E531" s="5"/>
      <c r="F531" s="5"/>
      <c r="G531" s="5"/>
      <c r="H531" s="5"/>
      <c r="I531" s="5"/>
      <c r="J531" s="5"/>
      <c r="K531" s="92"/>
      <c r="L531" s="13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129"/>
      <c r="B532" s="5"/>
      <c r="C532" s="5"/>
      <c r="D532" s="5"/>
      <c r="E532" s="5"/>
      <c r="F532" s="5"/>
      <c r="G532" s="5"/>
      <c r="H532" s="5"/>
      <c r="I532" s="5"/>
      <c r="J532" s="5"/>
      <c r="K532" s="92"/>
      <c r="L532" s="13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129"/>
      <c r="B533" s="5"/>
      <c r="C533" s="5"/>
      <c r="D533" s="5"/>
      <c r="E533" s="5"/>
      <c r="F533" s="5"/>
      <c r="G533" s="5"/>
      <c r="H533" s="5"/>
      <c r="I533" s="5"/>
      <c r="J533" s="5"/>
      <c r="K533" s="92"/>
      <c r="L533" s="13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129"/>
      <c r="B534" s="5"/>
      <c r="C534" s="5"/>
      <c r="D534" s="5"/>
      <c r="E534" s="5"/>
      <c r="F534" s="5"/>
      <c r="G534" s="5"/>
      <c r="H534" s="5"/>
      <c r="I534" s="5"/>
      <c r="J534" s="5"/>
      <c r="K534" s="92"/>
      <c r="L534" s="13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129"/>
      <c r="B535" s="5"/>
      <c r="C535" s="5"/>
      <c r="D535" s="5"/>
      <c r="E535" s="5"/>
      <c r="F535" s="5"/>
      <c r="G535" s="5"/>
      <c r="H535" s="5"/>
      <c r="I535" s="5"/>
      <c r="J535" s="5"/>
      <c r="K535" s="92"/>
      <c r="L535" s="13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129"/>
      <c r="B536" s="5"/>
      <c r="C536" s="5"/>
      <c r="D536" s="5"/>
      <c r="E536" s="5"/>
      <c r="F536" s="5"/>
      <c r="G536" s="5"/>
      <c r="H536" s="5"/>
      <c r="I536" s="5"/>
      <c r="J536" s="5"/>
      <c r="K536" s="92"/>
      <c r="L536" s="13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129"/>
      <c r="B537" s="5"/>
      <c r="C537" s="5"/>
      <c r="D537" s="5"/>
      <c r="E537" s="5"/>
      <c r="F537" s="5"/>
      <c r="G537" s="5"/>
      <c r="H537" s="5"/>
      <c r="I537" s="5"/>
      <c r="J537" s="5"/>
      <c r="K537" s="92"/>
      <c r="L537" s="13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129"/>
      <c r="B538" s="5"/>
      <c r="C538" s="5"/>
      <c r="D538" s="5"/>
      <c r="E538" s="5"/>
      <c r="F538" s="5"/>
      <c r="G538" s="5"/>
      <c r="H538" s="5"/>
      <c r="I538" s="5"/>
      <c r="J538" s="5"/>
      <c r="K538" s="92"/>
      <c r="L538" s="13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129"/>
      <c r="B539" s="5"/>
      <c r="C539" s="5"/>
      <c r="D539" s="5"/>
      <c r="E539" s="5"/>
      <c r="F539" s="5"/>
      <c r="G539" s="5"/>
      <c r="H539" s="5"/>
      <c r="I539" s="5"/>
      <c r="J539" s="5"/>
      <c r="K539" s="92"/>
      <c r="L539" s="13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129"/>
      <c r="B540" s="5"/>
      <c r="C540" s="5"/>
      <c r="D540" s="5"/>
      <c r="E540" s="5"/>
      <c r="F540" s="5"/>
      <c r="G540" s="5"/>
      <c r="H540" s="5"/>
      <c r="I540" s="5"/>
      <c r="J540" s="5"/>
      <c r="K540" s="92"/>
      <c r="L540" s="13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129"/>
      <c r="B541" s="5"/>
      <c r="C541" s="5"/>
      <c r="D541" s="5"/>
      <c r="E541" s="5"/>
      <c r="F541" s="5"/>
      <c r="G541" s="5"/>
      <c r="H541" s="5"/>
      <c r="I541" s="5"/>
      <c r="J541" s="5"/>
      <c r="K541" s="92"/>
      <c r="L541" s="13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129"/>
      <c r="B542" s="5"/>
      <c r="C542" s="5"/>
      <c r="D542" s="5"/>
      <c r="E542" s="5"/>
      <c r="F542" s="5"/>
      <c r="G542" s="5"/>
      <c r="H542" s="5"/>
      <c r="I542" s="5"/>
      <c r="J542" s="5"/>
      <c r="K542" s="92"/>
      <c r="L542" s="13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129"/>
      <c r="B543" s="5"/>
      <c r="C543" s="5"/>
      <c r="D543" s="5"/>
      <c r="E543" s="5"/>
      <c r="F543" s="5"/>
      <c r="G543" s="5"/>
      <c r="H543" s="5"/>
      <c r="I543" s="5"/>
      <c r="J543" s="5"/>
      <c r="K543" s="92"/>
      <c r="L543" s="13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129"/>
      <c r="B544" s="5"/>
      <c r="C544" s="5"/>
      <c r="D544" s="5"/>
      <c r="E544" s="5"/>
      <c r="F544" s="5"/>
      <c r="G544" s="5"/>
      <c r="H544" s="5"/>
      <c r="I544" s="5"/>
      <c r="J544" s="5"/>
      <c r="K544" s="92"/>
      <c r="L544" s="13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129"/>
      <c r="B545" s="5"/>
      <c r="C545" s="5"/>
      <c r="D545" s="5"/>
      <c r="E545" s="5"/>
      <c r="F545" s="5"/>
      <c r="G545" s="5"/>
      <c r="H545" s="5"/>
      <c r="I545" s="5"/>
      <c r="J545" s="5"/>
      <c r="K545" s="92"/>
      <c r="L545" s="13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129"/>
      <c r="B546" s="5"/>
      <c r="C546" s="5"/>
      <c r="D546" s="5"/>
      <c r="E546" s="5"/>
      <c r="F546" s="5"/>
      <c r="G546" s="5"/>
      <c r="H546" s="5"/>
      <c r="I546" s="5"/>
      <c r="J546" s="5"/>
      <c r="K546" s="92"/>
      <c r="L546" s="13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129"/>
      <c r="B547" s="5"/>
      <c r="C547" s="5"/>
      <c r="D547" s="5"/>
      <c r="E547" s="5"/>
      <c r="F547" s="5"/>
      <c r="G547" s="5"/>
      <c r="H547" s="5"/>
      <c r="I547" s="5"/>
      <c r="J547" s="5"/>
      <c r="K547" s="92"/>
      <c r="L547" s="13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129"/>
      <c r="B548" s="5"/>
      <c r="C548" s="5"/>
      <c r="D548" s="5"/>
      <c r="E548" s="5"/>
      <c r="F548" s="5"/>
      <c r="G548" s="5"/>
      <c r="H548" s="5"/>
      <c r="I548" s="5"/>
      <c r="J548" s="5"/>
      <c r="K548" s="92"/>
      <c r="L548" s="13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129"/>
      <c r="B549" s="5"/>
      <c r="C549" s="5"/>
      <c r="D549" s="5"/>
      <c r="E549" s="5"/>
      <c r="F549" s="5"/>
      <c r="G549" s="5"/>
      <c r="H549" s="5"/>
      <c r="I549" s="5"/>
      <c r="J549" s="5"/>
      <c r="K549" s="92"/>
      <c r="L549" s="13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129"/>
      <c r="B550" s="5"/>
      <c r="C550" s="5"/>
      <c r="D550" s="5"/>
      <c r="E550" s="5"/>
      <c r="F550" s="5"/>
      <c r="G550" s="5"/>
      <c r="H550" s="5"/>
      <c r="I550" s="5"/>
      <c r="J550" s="5"/>
      <c r="K550" s="92"/>
      <c r="L550" s="13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129"/>
      <c r="B551" s="5"/>
      <c r="C551" s="5"/>
      <c r="D551" s="5"/>
      <c r="E551" s="5"/>
      <c r="F551" s="5"/>
      <c r="G551" s="5"/>
      <c r="H551" s="5"/>
      <c r="I551" s="5"/>
      <c r="J551" s="5"/>
      <c r="K551" s="92"/>
      <c r="L551" s="13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129"/>
      <c r="B552" s="5"/>
      <c r="C552" s="5"/>
      <c r="D552" s="5"/>
      <c r="E552" s="5"/>
      <c r="F552" s="5"/>
      <c r="G552" s="5"/>
      <c r="H552" s="5"/>
      <c r="I552" s="5"/>
      <c r="J552" s="5"/>
      <c r="K552" s="92"/>
      <c r="L552" s="13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129"/>
      <c r="B553" s="5"/>
      <c r="C553" s="5"/>
      <c r="D553" s="5"/>
      <c r="E553" s="5"/>
      <c r="F553" s="5"/>
      <c r="G553" s="5"/>
      <c r="H553" s="5"/>
      <c r="I553" s="5"/>
      <c r="J553" s="5"/>
      <c r="K553" s="92"/>
      <c r="L553" s="13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129"/>
      <c r="B554" s="5"/>
      <c r="C554" s="5"/>
      <c r="D554" s="5"/>
      <c r="E554" s="5"/>
      <c r="F554" s="5"/>
      <c r="G554" s="5"/>
      <c r="H554" s="5"/>
      <c r="I554" s="5"/>
      <c r="J554" s="5"/>
      <c r="K554" s="92"/>
      <c r="L554" s="13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129"/>
      <c r="B555" s="5"/>
      <c r="C555" s="5"/>
      <c r="D555" s="5"/>
      <c r="E555" s="5"/>
      <c r="F555" s="5"/>
      <c r="G555" s="5"/>
      <c r="H555" s="5"/>
      <c r="I555" s="5"/>
      <c r="J555" s="5"/>
      <c r="K555" s="92"/>
      <c r="L555" s="13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129"/>
      <c r="B556" s="5"/>
      <c r="C556" s="5"/>
      <c r="D556" s="5"/>
      <c r="E556" s="5"/>
      <c r="F556" s="5"/>
      <c r="G556" s="5"/>
      <c r="H556" s="5"/>
      <c r="I556" s="5"/>
      <c r="J556" s="5"/>
      <c r="K556" s="92"/>
      <c r="L556" s="13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129"/>
      <c r="B557" s="5"/>
      <c r="C557" s="5"/>
      <c r="D557" s="5"/>
      <c r="E557" s="5"/>
      <c r="F557" s="5"/>
      <c r="G557" s="5"/>
      <c r="H557" s="5"/>
      <c r="I557" s="5"/>
      <c r="J557" s="5"/>
      <c r="K557" s="92"/>
      <c r="L557" s="13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129"/>
      <c r="B558" s="5"/>
      <c r="C558" s="5"/>
      <c r="D558" s="5"/>
      <c r="E558" s="5"/>
      <c r="F558" s="5"/>
      <c r="G558" s="5"/>
      <c r="H558" s="5"/>
      <c r="I558" s="5"/>
      <c r="J558" s="5"/>
      <c r="K558" s="92"/>
      <c r="L558" s="13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129"/>
      <c r="B559" s="5"/>
      <c r="C559" s="5"/>
      <c r="D559" s="5"/>
      <c r="E559" s="5"/>
      <c r="F559" s="5"/>
      <c r="G559" s="5"/>
      <c r="H559" s="5"/>
      <c r="I559" s="5"/>
      <c r="J559" s="5"/>
      <c r="K559" s="92"/>
      <c r="L559" s="13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129"/>
      <c r="B560" s="5"/>
      <c r="C560" s="5"/>
      <c r="D560" s="5"/>
      <c r="E560" s="5"/>
      <c r="F560" s="5"/>
      <c r="G560" s="5"/>
      <c r="H560" s="5"/>
      <c r="I560" s="5"/>
      <c r="J560" s="5"/>
      <c r="K560" s="92"/>
      <c r="L560" s="13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129"/>
      <c r="B561" s="5"/>
      <c r="C561" s="5"/>
      <c r="D561" s="5"/>
      <c r="E561" s="5"/>
      <c r="F561" s="5"/>
      <c r="G561" s="5"/>
      <c r="H561" s="5"/>
      <c r="I561" s="5"/>
      <c r="J561" s="5"/>
      <c r="K561" s="92"/>
      <c r="L561" s="13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129"/>
      <c r="B562" s="5"/>
      <c r="C562" s="5"/>
      <c r="D562" s="5"/>
      <c r="E562" s="5"/>
      <c r="F562" s="5"/>
      <c r="G562" s="5"/>
      <c r="H562" s="5"/>
      <c r="I562" s="5"/>
      <c r="J562" s="5"/>
      <c r="K562" s="92"/>
      <c r="L562" s="13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129"/>
      <c r="B563" s="5"/>
      <c r="C563" s="5"/>
      <c r="D563" s="5"/>
      <c r="E563" s="5"/>
      <c r="F563" s="5"/>
      <c r="G563" s="5"/>
      <c r="H563" s="5"/>
      <c r="I563" s="5"/>
      <c r="J563" s="5"/>
      <c r="K563" s="92"/>
      <c r="L563" s="13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129"/>
      <c r="B564" s="5"/>
      <c r="C564" s="5"/>
      <c r="D564" s="5"/>
      <c r="E564" s="5"/>
      <c r="F564" s="5"/>
      <c r="G564" s="5"/>
      <c r="H564" s="5"/>
      <c r="I564" s="5"/>
      <c r="J564" s="5"/>
      <c r="K564" s="92"/>
      <c r="L564" s="13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129"/>
      <c r="B565" s="5"/>
      <c r="C565" s="5"/>
      <c r="D565" s="5"/>
      <c r="E565" s="5"/>
      <c r="F565" s="5"/>
      <c r="G565" s="5"/>
      <c r="H565" s="5"/>
      <c r="I565" s="5"/>
      <c r="J565" s="5"/>
      <c r="K565" s="92"/>
      <c r="L565" s="13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129"/>
      <c r="B566" s="5"/>
      <c r="C566" s="5"/>
      <c r="D566" s="5"/>
      <c r="E566" s="5"/>
      <c r="F566" s="5"/>
      <c r="G566" s="5"/>
      <c r="H566" s="5"/>
      <c r="I566" s="5"/>
      <c r="J566" s="5"/>
      <c r="K566" s="92"/>
      <c r="L566" s="13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129"/>
      <c r="B567" s="5"/>
      <c r="C567" s="5"/>
      <c r="D567" s="5"/>
      <c r="E567" s="5"/>
      <c r="F567" s="5"/>
      <c r="G567" s="5"/>
      <c r="H567" s="5"/>
      <c r="I567" s="5"/>
      <c r="J567" s="5"/>
      <c r="K567" s="92"/>
      <c r="L567" s="13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129"/>
      <c r="B568" s="5"/>
      <c r="C568" s="5"/>
      <c r="D568" s="5"/>
      <c r="E568" s="5"/>
      <c r="F568" s="5"/>
      <c r="G568" s="5"/>
      <c r="H568" s="5"/>
      <c r="I568" s="5"/>
      <c r="J568" s="5"/>
      <c r="K568" s="92"/>
      <c r="L568" s="13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129"/>
      <c r="B569" s="5"/>
      <c r="C569" s="5"/>
      <c r="D569" s="5"/>
      <c r="E569" s="5"/>
      <c r="F569" s="5"/>
      <c r="G569" s="5"/>
      <c r="H569" s="5"/>
      <c r="I569" s="5"/>
      <c r="J569" s="5"/>
      <c r="K569" s="92"/>
      <c r="L569" s="13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129"/>
      <c r="B570" s="5"/>
      <c r="C570" s="5"/>
      <c r="D570" s="5"/>
      <c r="E570" s="5"/>
      <c r="F570" s="5"/>
      <c r="G570" s="5"/>
      <c r="H570" s="5"/>
      <c r="I570" s="5"/>
      <c r="J570" s="5"/>
      <c r="K570" s="92"/>
      <c r="L570" s="13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129"/>
      <c r="B571" s="5"/>
      <c r="C571" s="5"/>
      <c r="D571" s="5"/>
      <c r="E571" s="5"/>
      <c r="F571" s="5"/>
      <c r="G571" s="5"/>
      <c r="H571" s="5"/>
      <c r="I571" s="5"/>
      <c r="J571" s="5"/>
      <c r="K571" s="92"/>
      <c r="L571" s="13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129"/>
      <c r="B572" s="5"/>
      <c r="C572" s="5"/>
      <c r="D572" s="5"/>
      <c r="E572" s="5"/>
      <c r="F572" s="5"/>
      <c r="G572" s="5"/>
      <c r="H572" s="5"/>
      <c r="I572" s="5"/>
      <c r="J572" s="5"/>
      <c r="K572" s="92"/>
      <c r="L572" s="13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129"/>
      <c r="B573" s="5"/>
      <c r="C573" s="5"/>
      <c r="D573" s="5"/>
      <c r="E573" s="5"/>
      <c r="F573" s="5"/>
      <c r="G573" s="5"/>
      <c r="H573" s="5"/>
      <c r="I573" s="5"/>
      <c r="J573" s="5"/>
      <c r="K573" s="92"/>
      <c r="L573" s="13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129"/>
      <c r="B574" s="5"/>
      <c r="C574" s="5"/>
      <c r="D574" s="5"/>
      <c r="E574" s="5"/>
      <c r="F574" s="5"/>
      <c r="G574" s="5"/>
      <c r="H574" s="5"/>
      <c r="I574" s="5"/>
      <c r="J574" s="5"/>
      <c r="K574" s="92"/>
      <c r="L574" s="13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129"/>
      <c r="B575" s="5"/>
      <c r="C575" s="5"/>
      <c r="D575" s="5"/>
      <c r="E575" s="5"/>
      <c r="F575" s="5"/>
      <c r="G575" s="5"/>
      <c r="H575" s="5"/>
      <c r="I575" s="5"/>
      <c r="J575" s="5"/>
      <c r="K575" s="92"/>
      <c r="L575" s="13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129"/>
      <c r="B576" s="5"/>
      <c r="C576" s="5"/>
      <c r="D576" s="5"/>
      <c r="E576" s="5"/>
      <c r="F576" s="5"/>
      <c r="G576" s="5"/>
      <c r="H576" s="5"/>
      <c r="I576" s="5"/>
      <c r="J576" s="5"/>
      <c r="K576" s="92"/>
      <c r="L576" s="13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129"/>
      <c r="B577" s="5"/>
      <c r="C577" s="5"/>
      <c r="D577" s="5"/>
      <c r="E577" s="5"/>
      <c r="F577" s="5"/>
      <c r="G577" s="5"/>
      <c r="H577" s="5"/>
      <c r="I577" s="5"/>
      <c r="J577" s="5"/>
      <c r="K577" s="92"/>
      <c r="L577" s="13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129"/>
      <c r="B578" s="5"/>
      <c r="C578" s="5"/>
      <c r="D578" s="5"/>
      <c r="E578" s="5"/>
      <c r="F578" s="5"/>
      <c r="G578" s="5"/>
      <c r="H578" s="5"/>
      <c r="I578" s="5"/>
      <c r="J578" s="5"/>
      <c r="K578" s="92"/>
      <c r="L578" s="13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129"/>
      <c r="B579" s="5"/>
      <c r="C579" s="5"/>
      <c r="D579" s="5"/>
      <c r="E579" s="5"/>
      <c r="F579" s="5"/>
      <c r="G579" s="5"/>
      <c r="H579" s="5"/>
      <c r="I579" s="5"/>
      <c r="J579" s="5"/>
      <c r="K579" s="92"/>
      <c r="L579" s="13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129"/>
      <c r="B580" s="5"/>
      <c r="C580" s="5"/>
      <c r="D580" s="5"/>
      <c r="E580" s="5"/>
      <c r="F580" s="5"/>
      <c r="G580" s="5"/>
      <c r="H580" s="5"/>
      <c r="I580" s="5"/>
      <c r="J580" s="5"/>
      <c r="K580" s="92"/>
      <c r="L580" s="13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129"/>
      <c r="B581" s="5"/>
      <c r="C581" s="5"/>
      <c r="D581" s="5"/>
      <c r="E581" s="5"/>
      <c r="F581" s="5"/>
      <c r="G581" s="5"/>
      <c r="H581" s="5"/>
      <c r="I581" s="5"/>
      <c r="J581" s="5"/>
      <c r="K581" s="92"/>
      <c r="L581" s="13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129"/>
      <c r="B582" s="5"/>
      <c r="C582" s="5"/>
      <c r="D582" s="5"/>
      <c r="E582" s="5"/>
      <c r="F582" s="5"/>
      <c r="G582" s="5"/>
      <c r="H582" s="5"/>
      <c r="I582" s="5"/>
      <c r="J582" s="5"/>
      <c r="K582" s="92"/>
      <c r="L582" s="13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129"/>
      <c r="B583" s="5"/>
      <c r="C583" s="5"/>
      <c r="D583" s="5"/>
      <c r="E583" s="5"/>
      <c r="F583" s="5"/>
      <c r="G583" s="5"/>
      <c r="H583" s="5"/>
      <c r="I583" s="5"/>
      <c r="J583" s="5"/>
      <c r="K583" s="92"/>
      <c r="L583" s="13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129"/>
      <c r="B584" s="5"/>
      <c r="C584" s="5"/>
      <c r="D584" s="5"/>
      <c r="E584" s="5"/>
      <c r="F584" s="5"/>
      <c r="G584" s="5"/>
      <c r="H584" s="5"/>
      <c r="I584" s="5"/>
      <c r="J584" s="5"/>
      <c r="K584" s="92"/>
      <c r="L584" s="13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129"/>
      <c r="B585" s="5"/>
      <c r="C585" s="5"/>
      <c r="D585" s="5"/>
      <c r="E585" s="5"/>
      <c r="F585" s="5"/>
      <c r="G585" s="5"/>
      <c r="H585" s="5"/>
      <c r="I585" s="5"/>
      <c r="J585" s="5"/>
      <c r="K585" s="92"/>
      <c r="L585" s="13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129"/>
      <c r="B586" s="5"/>
      <c r="C586" s="5"/>
      <c r="D586" s="5"/>
      <c r="E586" s="5"/>
      <c r="F586" s="5"/>
      <c r="G586" s="5"/>
      <c r="H586" s="5"/>
      <c r="I586" s="5"/>
      <c r="J586" s="5"/>
      <c r="K586" s="92"/>
      <c r="L586" s="13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129"/>
      <c r="B587" s="5"/>
      <c r="C587" s="5"/>
      <c r="D587" s="5"/>
      <c r="E587" s="5"/>
      <c r="F587" s="5"/>
      <c r="G587" s="5"/>
      <c r="H587" s="5"/>
      <c r="I587" s="5"/>
      <c r="J587" s="5"/>
      <c r="K587" s="92"/>
      <c r="L587" s="13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129"/>
      <c r="B588" s="5"/>
      <c r="C588" s="5"/>
      <c r="D588" s="5"/>
      <c r="E588" s="5"/>
      <c r="F588" s="5"/>
      <c r="G588" s="5"/>
      <c r="H588" s="5"/>
      <c r="I588" s="5"/>
      <c r="J588" s="5"/>
      <c r="K588" s="92"/>
      <c r="L588" s="13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129"/>
      <c r="B589" s="5"/>
      <c r="C589" s="5"/>
      <c r="D589" s="5"/>
      <c r="E589" s="5"/>
      <c r="F589" s="5"/>
      <c r="G589" s="5"/>
      <c r="H589" s="5"/>
      <c r="I589" s="5"/>
      <c r="J589" s="5"/>
      <c r="K589" s="92"/>
      <c r="L589" s="13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129"/>
      <c r="B590" s="5"/>
      <c r="C590" s="5"/>
      <c r="D590" s="5"/>
      <c r="E590" s="5"/>
      <c r="F590" s="5"/>
      <c r="G590" s="5"/>
      <c r="H590" s="5"/>
      <c r="I590" s="5"/>
      <c r="J590" s="5"/>
      <c r="K590" s="92"/>
      <c r="L590" s="13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129"/>
      <c r="B591" s="5"/>
      <c r="C591" s="5"/>
      <c r="D591" s="5"/>
      <c r="E591" s="5"/>
      <c r="F591" s="5"/>
      <c r="G591" s="5"/>
      <c r="H591" s="5"/>
      <c r="I591" s="5"/>
      <c r="J591" s="5"/>
      <c r="K591" s="92"/>
      <c r="L591" s="13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129"/>
      <c r="B592" s="5"/>
      <c r="C592" s="5"/>
      <c r="D592" s="5"/>
      <c r="E592" s="5"/>
      <c r="F592" s="5"/>
      <c r="G592" s="5"/>
      <c r="H592" s="5"/>
      <c r="I592" s="5"/>
      <c r="J592" s="5"/>
      <c r="K592" s="92"/>
      <c r="L592" s="13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129"/>
      <c r="B593" s="5"/>
      <c r="C593" s="5"/>
      <c r="D593" s="5"/>
      <c r="E593" s="5"/>
      <c r="F593" s="5"/>
      <c r="G593" s="5"/>
      <c r="H593" s="5"/>
      <c r="I593" s="5"/>
      <c r="J593" s="5"/>
      <c r="K593" s="92"/>
      <c r="L593" s="13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129"/>
      <c r="B594" s="5"/>
      <c r="C594" s="5"/>
      <c r="D594" s="5"/>
      <c r="E594" s="5"/>
      <c r="F594" s="5"/>
      <c r="G594" s="5"/>
      <c r="H594" s="5"/>
      <c r="I594" s="5"/>
      <c r="J594" s="5"/>
      <c r="K594" s="92"/>
      <c r="L594" s="13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129"/>
      <c r="B595" s="5"/>
      <c r="C595" s="5"/>
      <c r="D595" s="5"/>
      <c r="E595" s="5"/>
      <c r="F595" s="5"/>
      <c r="G595" s="5"/>
      <c r="H595" s="5"/>
      <c r="I595" s="5"/>
      <c r="J595" s="5"/>
      <c r="K595" s="92"/>
      <c r="L595" s="13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129"/>
      <c r="B596" s="5"/>
      <c r="C596" s="5"/>
      <c r="D596" s="5"/>
      <c r="E596" s="5"/>
      <c r="F596" s="5"/>
      <c r="G596" s="5"/>
      <c r="H596" s="5"/>
      <c r="I596" s="5"/>
      <c r="J596" s="5"/>
      <c r="K596" s="92"/>
      <c r="L596" s="13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129"/>
      <c r="B597" s="5"/>
      <c r="C597" s="5"/>
      <c r="D597" s="5"/>
      <c r="E597" s="5"/>
      <c r="F597" s="5"/>
      <c r="G597" s="5"/>
      <c r="H597" s="5"/>
      <c r="I597" s="5"/>
      <c r="J597" s="5"/>
      <c r="K597" s="92"/>
      <c r="L597" s="13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129"/>
      <c r="B598" s="5"/>
      <c r="C598" s="5"/>
      <c r="D598" s="5"/>
      <c r="E598" s="5"/>
      <c r="F598" s="5"/>
      <c r="G598" s="5"/>
      <c r="H598" s="5"/>
      <c r="I598" s="5"/>
      <c r="J598" s="5"/>
      <c r="K598" s="92"/>
      <c r="L598" s="13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129"/>
      <c r="B599" s="5"/>
      <c r="C599" s="5"/>
      <c r="D599" s="5"/>
      <c r="E599" s="5"/>
      <c r="F599" s="5"/>
      <c r="G599" s="5"/>
      <c r="H599" s="5"/>
      <c r="I599" s="5"/>
      <c r="J599" s="5"/>
      <c r="K599" s="92"/>
      <c r="L599" s="13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129"/>
      <c r="B600" s="5"/>
      <c r="C600" s="5"/>
      <c r="D600" s="5"/>
      <c r="E600" s="5"/>
      <c r="F600" s="5"/>
      <c r="G600" s="5"/>
      <c r="H600" s="5"/>
      <c r="I600" s="5"/>
      <c r="J600" s="5"/>
      <c r="K600" s="92"/>
      <c r="L600" s="13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129"/>
      <c r="B601" s="5"/>
      <c r="C601" s="5"/>
      <c r="D601" s="5"/>
      <c r="E601" s="5"/>
      <c r="F601" s="5"/>
      <c r="G601" s="5"/>
      <c r="H601" s="5"/>
      <c r="I601" s="5"/>
      <c r="J601" s="5"/>
      <c r="K601" s="92"/>
      <c r="L601" s="13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129"/>
      <c r="B602" s="5"/>
      <c r="C602" s="5"/>
      <c r="D602" s="5"/>
      <c r="E602" s="5"/>
      <c r="F602" s="5"/>
      <c r="G602" s="5"/>
      <c r="H602" s="5"/>
      <c r="I602" s="5"/>
      <c r="J602" s="5"/>
      <c r="K602" s="92"/>
      <c r="L602" s="13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129"/>
      <c r="B603" s="5"/>
      <c r="C603" s="5"/>
      <c r="D603" s="5"/>
      <c r="E603" s="5"/>
      <c r="F603" s="5"/>
      <c r="G603" s="5"/>
      <c r="H603" s="5"/>
      <c r="I603" s="5"/>
      <c r="J603" s="5"/>
      <c r="K603" s="92"/>
      <c r="L603" s="13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129"/>
      <c r="B604" s="5"/>
      <c r="C604" s="5"/>
      <c r="D604" s="5"/>
      <c r="E604" s="5"/>
      <c r="F604" s="5"/>
      <c r="G604" s="5"/>
      <c r="H604" s="5"/>
      <c r="I604" s="5"/>
      <c r="J604" s="5"/>
      <c r="K604" s="92"/>
      <c r="L604" s="13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129"/>
      <c r="B605" s="5"/>
      <c r="C605" s="5"/>
      <c r="D605" s="5"/>
      <c r="E605" s="5"/>
      <c r="F605" s="5"/>
      <c r="G605" s="5"/>
      <c r="H605" s="5"/>
      <c r="I605" s="5"/>
      <c r="J605" s="5"/>
      <c r="K605" s="92"/>
      <c r="L605" s="13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129"/>
      <c r="B606" s="5"/>
      <c r="C606" s="5"/>
      <c r="D606" s="5"/>
      <c r="E606" s="5"/>
      <c r="F606" s="5"/>
      <c r="G606" s="5"/>
      <c r="H606" s="5"/>
      <c r="I606" s="5"/>
      <c r="J606" s="5"/>
      <c r="K606" s="92"/>
      <c r="L606" s="13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129"/>
      <c r="B607" s="5"/>
      <c r="C607" s="5"/>
      <c r="D607" s="5"/>
      <c r="E607" s="5"/>
      <c r="F607" s="5"/>
      <c r="G607" s="5"/>
      <c r="H607" s="5"/>
      <c r="I607" s="5"/>
      <c r="J607" s="5"/>
      <c r="K607" s="92"/>
      <c r="L607" s="13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129"/>
      <c r="B608" s="5"/>
      <c r="C608" s="5"/>
      <c r="D608" s="5"/>
      <c r="E608" s="5"/>
      <c r="F608" s="5"/>
      <c r="G608" s="5"/>
      <c r="H608" s="5"/>
      <c r="I608" s="5"/>
      <c r="J608" s="5"/>
      <c r="K608" s="92"/>
      <c r="L608" s="13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129"/>
      <c r="B609" s="5"/>
      <c r="C609" s="5"/>
      <c r="D609" s="5"/>
      <c r="E609" s="5"/>
      <c r="F609" s="5"/>
      <c r="G609" s="5"/>
      <c r="H609" s="5"/>
      <c r="I609" s="5"/>
      <c r="J609" s="5"/>
      <c r="K609" s="92"/>
      <c r="L609" s="13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129"/>
      <c r="B610" s="5"/>
      <c r="C610" s="5"/>
      <c r="D610" s="5"/>
      <c r="E610" s="5"/>
      <c r="F610" s="5"/>
      <c r="G610" s="5"/>
      <c r="H610" s="5"/>
      <c r="I610" s="5"/>
      <c r="J610" s="5"/>
      <c r="K610" s="92"/>
      <c r="L610" s="13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129"/>
      <c r="B611" s="5"/>
      <c r="C611" s="5"/>
      <c r="D611" s="5"/>
      <c r="E611" s="5"/>
      <c r="F611" s="5"/>
      <c r="G611" s="5"/>
      <c r="H611" s="5"/>
      <c r="I611" s="5"/>
      <c r="J611" s="5"/>
      <c r="K611" s="92"/>
      <c r="L611" s="13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129"/>
      <c r="B612" s="5"/>
      <c r="C612" s="5"/>
      <c r="D612" s="5"/>
      <c r="E612" s="5"/>
      <c r="F612" s="5"/>
      <c r="G612" s="5"/>
      <c r="H612" s="5"/>
      <c r="I612" s="5"/>
      <c r="J612" s="5"/>
      <c r="K612" s="92"/>
      <c r="L612" s="13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129"/>
      <c r="B613" s="5"/>
      <c r="C613" s="5"/>
      <c r="D613" s="5"/>
      <c r="E613" s="5"/>
      <c r="F613" s="5"/>
      <c r="G613" s="5"/>
      <c r="H613" s="5"/>
      <c r="I613" s="5"/>
      <c r="J613" s="5"/>
      <c r="K613" s="92"/>
      <c r="L613" s="13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129"/>
      <c r="B614" s="5"/>
      <c r="C614" s="5"/>
      <c r="D614" s="5"/>
      <c r="E614" s="5"/>
      <c r="F614" s="5"/>
      <c r="G614" s="5"/>
      <c r="H614" s="5"/>
      <c r="I614" s="5"/>
      <c r="J614" s="5"/>
      <c r="K614" s="92"/>
      <c r="L614" s="13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129"/>
      <c r="B615" s="5"/>
      <c r="C615" s="5"/>
      <c r="D615" s="5"/>
      <c r="E615" s="5"/>
      <c r="F615" s="5"/>
      <c r="G615" s="5"/>
      <c r="H615" s="5"/>
      <c r="I615" s="5"/>
      <c r="J615" s="5"/>
      <c r="K615" s="92"/>
      <c r="L615" s="13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129"/>
      <c r="B616" s="5"/>
      <c r="C616" s="5"/>
      <c r="D616" s="5"/>
      <c r="E616" s="5"/>
      <c r="F616" s="5"/>
      <c r="G616" s="5"/>
      <c r="H616" s="5"/>
      <c r="I616" s="5"/>
      <c r="J616" s="5"/>
      <c r="K616" s="92"/>
      <c r="L616" s="13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129"/>
      <c r="B617" s="5"/>
      <c r="C617" s="5"/>
      <c r="D617" s="5"/>
      <c r="E617" s="5"/>
      <c r="F617" s="5"/>
      <c r="G617" s="5"/>
      <c r="H617" s="5"/>
      <c r="I617" s="5"/>
      <c r="J617" s="5"/>
      <c r="K617" s="92"/>
      <c r="L617" s="13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129"/>
      <c r="B618" s="5"/>
      <c r="C618" s="5"/>
      <c r="D618" s="5"/>
      <c r="E618" s="5"/>
      <c r="F618" s="5"/>
      <c r="G618" s="5"/>
      <c r="H618" s="5"/>
      <c r="I618" s="5"/>
      <c r="J618" s="5"/>
      <c r="K618" s="92"/>
      <c r="L618" s="13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129"/>
      <c r="B619" s="5"/>
      <c r="C619" s="5"/>
      <c r="D619" s="5"/>
      <c r="E619" s="5"/>
      <c r="F619" s="5"/>
      <c r="G619" s="5"/>
      <c r="H619" s="5"/>
      <c r="I619" s="5"/>
      <c r="J619" s="5"/>
      <c r="K619" s="92"/>
      <c r="L619" s="13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129"/>
      <c r="B620" s="5"/>
      <c r="C620" s="5"/>
      <c r="D620" s="5"/>
      <c r="E620" s="5"/>
      <c r="F620" s="5"/>
      <c r="G620" s="5"/>
      <c r="H620" s="5"/>
      <c r="I620" s="5"/>
      <c r="J620" s="5"/>
      <c r="K620" s="92"/>
      <c r="L620" s="13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129"/>
      <c r="B621" s="5"/>
      <c r="C621" s="5"/>
      <c r="D621" s="5"/>
      <c r="E621" s="5"/>
      <c r="F621" s="5"/>
      <c r="G621" s="5"/>
      <c r="H621" s="5"/>
      <c r="I621" s="5"/>
      <c r="J621" s="5"/>
      <c r="K621" s="92"/>
      <c r="L621" s="13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129"/>
      <c r="B622" s="5"/>
      <c r="C622" s="5"/>
      <c r="D622" s="5"/>
      <c r="E622" s="5"/>
      <c r="F622" s="5"/>
      <c r="G622" s="5"/>
      <c r="H622" s="5"/>
      <c r="I622" s="5"/>
      <c r="J622" s="5"/>
      <c r="K622" s="92"/>
      <c r="L622" s="13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129"/>
      <c r="B623" s="5"/>
      <c r="C623" s="5"/>
      <c r="D623" s="5"/>
      <c r="E623" s="5"/>
      <c r="F623" s="5"/>
      <c r="G623" s="5"/>
      <c r="H623" s="5"/>
      <c r="I623" s="5"/>
      <c r="J623" s="5"/>
      <c r="K623" s="92"/>
      <c r="L623" s="13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129"/>
      <c r="B624" s="5"/>
      <c r="C624" s="5"/>
      <c r="D624" s="5"/>
      <c r="E624" s="5"/>
      <c r="F624" s="5"/>
      <c r="G624" s="5"/>
      <c r="H624" s="5"/>
      <c r="I624" s="5"/>
      <c r="J624" s="5"/>
      <c r="K624" s="92"/>
      <c r="L624" s="13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129"/>
      <c r="B625" s="5"/>
      <c r="C625" s="5"/>
      <c r="D625" s="5"/>
      <c r="E625" s="5"/>
      <c r="F625" s="5"/>
      <c r="G625" s="5"/>
      <c r="H625" s="5"/>
      <c r="I625" s="5"/>
      <c r="J625" s="5"/>
      <c r="K625" s="92"/>
      <c r="L625" s="13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129"/>
      <c r="B626" s="5"/>
      <c r="C626" s="5"/>
      <c r="D626" s="5"/>
      <c r="E626" s="5"/>
      <c r="F626" s="5"/>
      <c r="G626" s="5"/>
      <c r="H626" s="5"/>
      <c r="I626" s="5"/>
      <c r="J626" s="5"/>
      <c r="K626" s="92"/>
      <c r="L626" s="13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129"/>
      <c r="B627" s="5"/>
      <c r="C627" s="5"/>
      <c r="D627" s="5"/>
      <c r="E627" s="5"/>
      <c r="F627" s="5"/>
      <c r="G627" s="5"/>
      <c r="H627" s="5"/>
      <c r="I627" s="5"/>
      <c r="J627" s="5"/>
      <c r="K627" s="92"/>
      <c r="L627" s="13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129"/>
      <c r="B628" s="5"/>
      <c r="C628" s="5"/>
      <c r="D628" s="5"/>
      <c r="E628" s="5"/>
      <c r="F628" s="5"/>
      <c r="G628" s="5"/>
      <c r="H628" s="5"/>
      <c r="I628" s="5"/>
      <c r="J628" s="5"/>
      <c r="K628" s="92"/>
      <c r="L628" s="13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129"/>
      <c r="B629" s="5"/>
      <c r="C629" s="5"/>
      <c r="D629" s="5"/>
      <c r="E629" s="5"/>
      <c r="F629" s="5"/>
      <c r="G629" s="5"/>
      <c r="H629" s="5"/>
      <c r="I629" s="5"/>
      <c r="J629" s="5"/>
      <c r="K629" s="92"/>
      <c r="L629" s="13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129"/>
      <c r="B630" s="5"/>
      <c r="C630" s="5"/>
      <c r="D630" s="5"/>
      <c r="E630" s="5"/>
      <c r="F630" s="5"/>
      <c r="G630" s="5"/>
      <c r="H630" s="5"/>
      <c r="I630" s="5"/>
      <c r="J630" s="5"/>
      <c r="K630" s="92"/>
      <c r="L630" s="13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129"/>
      <c r="B631" s="5"/>
      <c r="C631" s="5"/>
      <c r="D631" s="5"/>
      <c r="E631" s="5"/>
      <c r="F631" s="5"/>
      <c r="G631" s="5"/>
      <c r="H631" s="5"/>
      <c r="I631" s="5"/>
      <c r="J631" s="5"/>
      <c r="K631" s="92"/>
      <c r="L631" s="13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129"/>
      <c r="B632" s="5"/>
      <c r="C632" s="5"/>
      <c r="D632" s="5"/>
      <c r="E632" s="5"/>
      <c r="F632" s="5"/>
      <c r="G632" s="5"/>
      <c r="H632" s="5"/>
      <c r="I632" s="5"/>
      <c r="J632" s="5"/>
      <c r="K632" s="92"/>
      <c r="L632" s="13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129"/>
      <c r="B633" s="5"/>
      <c r="C633" s="5"/>
      <c r="D633" s="5"/>
      <c r="E633" s="5"/>
      <c r="F633" s="5"/>
      <c r="G633" s="5"/>
      <c r="H633" s="5"/>
      <c r="I633" s="5"/>
      <c r="J633" s="5"/>
      <c r="K633" s="92"/>
      <c r="L633" s="13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129"/>
      <c r="B634" s="5"/>
      <c r="C634" s="5"/>
      <c r="D634" s="5"/>
      <c r="E634" s="5"/>
      <c r="F634" s="5"/>
      <c r="G634" s="5"/>
      <c r="H634" s="5"/>
      <c r="I634" s="5"/>
      <c r="J634" s="5"/>
      <c r="K634" s="92"/>
      <c r="L634" s="13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129"/>
      <c r="B635" s="5"/>
      <c r="C635" s="5"/>
      <c r="D635" s="5"/>
      <c r="E635" s="5"/>
      <c r="F635" s="5"/>
      <c r="G635" s="5"/>
      <c r="H635" s="5"/>
      <c r="I635" s="5"/>
      <c r="J635" s="5"/>
      <c r="K635" s="92"/>
      <c r="L635" s="13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129"/>
      <c r="B636" s="5"/>
      <c r="C636" s="5"/>
      <c r="D636" s="5"/>
      <c r="E636" s="5"/>
      <c r="F636" s="5"/>
      <c r="G636" s="5"/>
      <c r="H636" s="5"/>
      <c r="I636" s="5"/>
      <c r="J636" s="5"/>
      <c r="K636" s="92"/>
      <c r="L636" s="13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129"/>
      <c r="B637" s="5"/>
      <c r="C637" s="5"/>
      <c r="D637" s="5"/>
      <c r="E637" s="5"/>
      <c r="F637" s="5"/>
      <c r="G637" s="5"/>
      <c r="H637" s="5"/>
      <c r="I637" s="5"/>
      <c r="J637" s="5"/>
      <c r="K637" s="92"/>
      <c r="L637" s="13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129"/>
      <c r="B638" s="5"/>
      <c r="C638" s="5"/>
      <c r="D638" s="5"/>
      <c r="E638" s="5"/>
      <c r="F638" s="5"/>
      <c r="G638" s="5"/>
      <c r="H638" s="5"/>
      <c r="I638" s="5"/>
      <c r="J638" s="5"/>
      <c r="K638" s="92"/>
      <c r="L638" s="13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129"/>
      <c r="B639" s="5"/>
      <c r="C639" s="5"/>
      <c r="D639" s="5"/>
      <c r="E639" s="5"/>
      <c r="F639" s="5"/>
      <c r="G639" s="5"/>
      <c r="H639" s="5"/>
      <c r="I639" s="5"/>
      <c r="J639" s="5"/>
      <c r="K639" s="92"/>
      <c r="L639" s="13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129"/>
      <c r="B640" s="5"/>
      <c r="C640" s="5"/>
      <c r="D640" s="5"/>
      <c r="E640" s="5"/>
      <c r="F640" s="5"/>
      <c r="G640" s="5"/>
      <c r="H640" s="5"/>
      <c r="I640" s="5"/>
      <c r="J640" s="5"/>
      <c r="K640" s="92"/>
      <c r="L640" s="13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129"/>
      <c r="B641" s="5"/>
      <c r="C641" s="5"/>
      <c r="D641" s="5"/>
      <c r="E641" s="5"/>
      <c r="F641" s="5"/>
      <c r="G641" s="5"/>
      <c r="H641" s="5"/>
      <c r="I641" s="5"/>
      <c r="J641" s="5"/>
      <c r="K641" s="92"/>
      <c r="L641" s="13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129"/>
      <c r="B642" s="5"/>
      <c r="C642" s="5"/>
      <c r="D642" s="5"/>
      <c r="E642" s="5"/>
      <c r="F642" s="5"/>
      <c r="G642" s="5"/>
      <c r="H642" s="5"/>
      <c r="I642" s="5"/>
      <c r="J642" s="5"/>
      <c r="K642" s="92"/>
      <c r="L642" s="13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129"/>
      <c r="B643" s="5"/>
      <c r="C643" s="5"/>
      <c r="D643" s="5"/>
      <c r="E643" s="5"/>
      <c r="F643" s="5"/>
      <c r="G643" s="5"/>
      <c r="H643" s="5"/>
      <c r="I643" s="5"/>
      <c r="J643" s="5"/>
      <c r="K643" s="92"/>
      <c r="L643" s="13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129"/>
      <c r="B644" s="5"/>
      <c r="C644" s="5"/>
      <c r="D644" s="5"/>
      <c r="E644" s="5"/>
      <c r="F644" s="5"/>
      <c r="G644" s="5"/>
      <c r="H644" s="5"/>
      <c r="I644" s="5"/>
      <c r="J644" s="5"/>
      <c r="K644" s="92"/>
      <c r="L644" s="13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129"/>
      <c r="B645" s="5"/>
      <c r="C645" s="5"/>
      <c r="D645" s="5"/>
      <c r="E645" s="5"/>
      <c r="F645" s="5"/>
      <c r="G645" s="5"/>
      <c r="H645" s="5"/>
      <c r="I645" s="5"/>
      <c r="J645" s="5"/>
      <c r="K645" s="92"/>
      <c r="L645" s="13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129"/>
      <c r="B646" s="5"/>
      <c r="C646" s="5"/>
      <c r="D646" s="5"/>
      <c r="E646" s="5"/>
      <c r="F646" s="5"/>
      <c r="G646" s="5"/>
      <c r="H646" s="5"/>
      <c r="I646" s="5"/>
      <c r="J646" s="5"/>
      <c r="K646" s="92"/>
      <c r="L646" s="13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129"/>
      <c r="B647" s="5"/>
      <c r="C647" s="5"/>
      <c r="D647" s="5"/>
      <c r="E647" s="5"/>
      <c r="F647" s="5"/>
      <c r="G647" s="5"/>
      <c r="H647" s="5"/>
      <c r="I647" s="5"/>
      <c r="J647" s="5"/>
      <c r="K647" s="92"/>
      <c r="L647" s="13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129"/>
      <c r="B648" s="5"/>
      <c r="C648" s="5"/>
      <c r="D648" s="5"/>
      <c r="E648" s="5"/>
      <c r="F648" s="5"/>
      <c r="G648" s="5"/>
      <c r="H648" s="5"/>
      <c r="I648" s="5"/>
      <c r="J648" s="5"/>
      <c r="K648" s="92"/>
      <c r="L648" s="13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129"/>
      <c r="B649" s="5"/>
      <c r="C649" s="5"/>
      <c r="D649" s="5"/>
      <c r="E649" s="5"/>
      <c r="F649" s="5"/>
      <c r="G649" s="5"/>
      <c r="H649" s="5"/>
      <c r="I649" s="5"/>
      <c r="J649" s="5"/>
      <c r="K649" s="92"/>
      <c r="L649" s="13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129"/>
      <c r="B650" s="5"/>
      <c r="C650" s="5"/>
      <c r="D650" s="5"/>
      <c r="E650" s="5"/>
      <c r="F650" s="5"/>
      <c r="G650" s="5"/>
      <c r="H650" s="5"/>
      <c r="I650" s="5"/>
      <c r="J650" s="5"/>
      <c r="K650" s="92"/>
      <c r="L650" s="13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129"/>
      <c r="B651" s="5"/>
      <c r="C651" s="5"/>
      <c r="D651" s="5"/>
      <c r="E651" s="5"/>
      <c r="F651" s="5"/>
      <c r="G651" s="5"/>
      <c r="H651" s="5"/>
      <c r="I651" s="5"/>
      <c r="J651" s="5"/>
      <c r="K651" s="92"/>
      <c r="L651" s="13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129"/>
      <c r="B652" s="5"/>
      <c r="C652" s="5"/>
      <c r="D652" s="5"/>
      <c r="E652" s="5"/>
      <c r="F652" s="5"/>
      <c r="G652" s="5"/>
      <c r="H652" s="5"/>
      <c r="I652" s="5"/>
      <c r="J652" s="5"/>
      <c r="K652" s="92"/>
      <c r="L652" s="13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129"/>
      <c r="B653" s="5"/>
      <c r="C653" s="5"/>
      <c r="D653" s="5"/>
      <c r="E653" s="5"/>
      <c r="F653" s="5"/>
      <c r="G653" s="5"/>
      <c r="H653" s="5"/>
      <c r="I653" s="5"/>
      <c r="J653" s="5"/>
      <c r="K653" s="92"/>
      <c r="L653" s="13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129"/>
      <c r="B654" s="5"/>
      <c r="C654" s="5"/>
      <c r="D654" s="5"/>
      <c r="E654" s="5"/>
      <c r="F654" s="5"/>
      <c r="G654" s="5"/>
      <c r="H654" s="5"/>
      <c r="I654" s="5"/>
      <c r="J654" s="5"/>
      <c r="K654" s="92"/>
      <c r="L654" s="13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129"/>
      <c r="B655" s="5"/>
      <c r="C655" s="5"/>
      <c r="D655" s="5"/>
      <c r="E655" s="5"/>
      <c r="F655" s="5"/>
      <c r="G655" s="5"/>
      <c r="H655" s="5"/>
      <c r="I655" s="5"/>
      <c r="J655" s="5"/>
      <c r="K655" s="92"/>
      <c r="L655" s="13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129"/>
      <c r="B656" s="5"/>
      <c r="C656" s="5"/>
      <c r="D656" s="5"/>
      <c r="E656" s="5"/>
      <c r="F656" s="5"/>
      <c r="G656" s="5"/>
      <c r="H656" s="5"/>
      <c r="I656" s="5"/>
      <c r="J656" s="5"/>
      <c r="K656" s="92"/>
      <c r="L656" s="13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129"/>
      <c r="B657" s="5"/>
      <c r="C657" s="5"/>
      <c r="D657" s="5"/>
      <c r="E657" s="5"/>
      <c r="F657" s="5"/>
      <c r="G657" s="5"/>
      <c r="H657" s="5"/>
      <c r="I657" s="5"/>
      <c r="J657" s="5"/>
      <c r="K657" s="92"/>
      <c r="L657" s="13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129"/>
      <c r="B658" s="5"/>
      <c r="C658" s="5"/>
      <c r="D658" s="5"/>
      <c r="E658" s="5"/>
      <c r="F658" s="5"/>
      <c r="G658" s="5"/>
      <c r="H658" s="5"/>
      <c r="I658" s="5"/>
      <c r="J658" s="5"/>
      <c r="K658" s="92"/>
      <c r="L658" s="13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129"/>
      <c r="B659" s="5"/>
      <c r="C659" s="5"/>
      <c r="D659" s="5"/>
      <c r="E659" s="5"/>
      <c r="F659" s="5"/>
      <c r="G659" s="5"/>
      <c r="H659" s="5"/>
      <c r="I659" s="5"/>
      <c r="J659" s="5"/>
      <c r="K659" s="92"/>
      <c r="L659" s="13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129"/>
      <c r="B660" s="5"/>
      <c r="C660" s="5"/>
      <c r="D660" s="5"/>
      <c r="E660" s="5"/>
      <c r="F660" s="5"/>
      <c r="G660" s="5"/>
      <c r="H660" s="5"/>
      <c r="I660" s="5"/>
      <c r="J660" s="5"/>
      <c r="K660" s="92"/>
      <c r="L660" s="13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129"/>
      <c r="B661" s="5"/>
      <c r="C661" s="5"/>
      <c r="D661" s="5"/>
      <c r="E661" s="5"/>
      <c r="F661" s="5"/>
      <c r="G661" s="5"/>
      <c r="H661" s="5"/>
      <c r="I661" s="5"/>
      <c r="J661" s="5"/>
      <c r="K661" s="92"/>
      <c r="L661" s="13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129"/>
      <c r="B662" s="5"/>
      <c r="C662" s="5"/>
      <c r="D662" s="5"/>
      <c r="E662" s="5"/>
      <c r="F662" s="5"/>
      <c r="G662" s="5"/>
      <c r="H662" s="5"/>
      <c r="I662" s="5"/>
      <c r="J662" s="5"/>
      <c r="K662" s="92"/>
      <c r="L662" s="13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129"/>
      <c r="B663" s="5"/>
      <c r="C663" s="5"/>
      <c r="D663" s="5"/>
      <c r="E663" s="5"/>
      <c r="F663" s="5"/>
      <c r="G663" s="5"/>
      <c r="H663" s="5"/>
      <c r="I663" s="5"/>
      <c r="J663" s="5"/>
      <c r="K663" s="92"/>
      <c r="L663" s="13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129"/>
      <c r="B664" s="5"/>
      <c r="C664" s="5"/>
      <c r="D664" s="5"/>
      <c r="E664" s="5"/>
      <c r="F664" s="5"/>
      <c r="G664" s="5"/>
      <c r="H664" s="5"/>
      <c r="I664" s="5"/>
      <c r="J664" s="5"/>
      <c r="K664" s="92"/>
      <c r="L664" s="13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129"/>
      <c r="B665" s="5"/>
      <c r="C665" s="5"/>
      <c r="D665" s="5"/>
      <c r="E665" s="5"/>
      <c r="F665" s="5"/>
      <c r="G665" s="5"/>
      <c r="H665" s="5"/>
      <c r="I665" s="5"/>
      <c r="J665" s="5"/>
      <c r="K665" s="92"/>
      <c r="L665" s="13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129"/>
      <c r="B666" s="5"/>
      <c r="C666" s="5"/>
      <c r="D666" s="5"/>
      <c r="E666" s="5"/>
      <c r="F666" s="5"/>
      <c r="G666" s="5"/>
      <c r="H666" s="5"/>
      <c r="I666" s="5"/>
      <c r="J666" s="5"/>
      <c r="K666" s="92"/>
      <c r="L666" s="13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129"/>
      <c r="B667" s="5"/>
      <c r="C667" s="5"/>
      <c r="D667" s="5"/>
      <c r="E667" s="5"/>
      <c r="F667" s="5"/>
      <c r="G667" s="5"/>
      <c r="H667" s="5"/>
      <c r="I667" s="5"/>
      <c r="J667" s="5"/>
      <c r="K667" s="92"/>
      <c r="L667" s="13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129"/>
      <c r="B668" s="5"/>
      <c r="C668" s="5"/>
      <c r="D668" s="5"/>
      <c r="E668" s="5"/>
      <c r="F668" s="5"/>
      <c r="G668" s="5"/>
      <c r="H668" s="5"/>
      <c r="I668" s="5"/>
      <c r="J668" s="5"/>
      <c r="K668" s="92"/>
      <c r="L668" s="13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129"/>
      <c r="B669" s="5"/>
      <c r="C669" s="5"/>
      <c r="D669" s="5"/>
      <c r="E669" s="5"/>
      <c r="F669" s="5"/>
      <c r="G669" s="5"/>
      <c r="H669" s="5"/>
      <c r="I669" s="5"/>
      <c r="J669" s="5"/>
      <c r="K669" s="92"/>
      <c r="L669" s="13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129"/>
      <c r="B670" s="5"/>
      <c r="C670" s="5"/>
      <c r="D670" s="5"/>
      <c r="E670" s="5"/>
      <c r="F670" s="5"/>
      <c r="G670" s="5"/>
      <c r="H670" s="5"/>
      <c r="I670" s="5"/>
      <c r="J670" s="5"/>
      <c r="K670" s="92"/>
      <c r="L670" s="13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129"/>
      <c r="B671" s="5"/>
      <c r="C671" s="5"/>
      <c r="D671" s="5"/>
      <c r="E671" s="5"/>
      <c r="F671" s="5"/>
      <c r="G671" s="5"/>
      <c r="H671" s="5"/>
      <c r="I671" s="5"/>
      <c r="J671" s="5"/>
      <c r="K671" s="92"/>
      <c r="L671" s="13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129"/>
      <c r="B672" s="5"/>
      <c r="C672" s="5"/>
      <c r="D672" s="5"/>
      <c r="E672" s="5"/>
      <c r="F672" s="5"/>
      <c r="G672" s="5"/>
      <c r="H672" s="5"/>
      <c r="I672" s="5"/>
      <c r="J672" s="5"/>
      <c r="K672" s="92"/>
      <c r="L672" s="13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129"/>
      <c r="B673" s="5"/>
      <c r="C673" s="5"/>
      <c r="D673" s="5"/>
      <c r="E673" s="5"/>
      <c r="F673" s="5"/>
      <c r="G673" s="5"/>
      <c r="H673" s="5"/>
      <c r="I673" s="5"/>
      <c r="J673" s="5"/>
      <c r="K673" s="92"/>
      <c r="L673" s="13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129"/>
      <c r="B674" s="5"/>
      <c r="C674" s="5"/>
      <c r="D674" s="5"/>
      <c r="E674" s="5"/>
      <c r="F674" s="5"/>
      <c r="G674" s="5"/>
      <c r="H674" s="5"/>
      <c r="I674" s="5"/>
      <c r="J674" s="5"/>
      <c r="K674" s="92"/>
      <c r="L674" s="13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129"/>
      <c r="B675" s="5"/>
      <c r="C675" s="5"/>
      <c r="D675" s="5"/>
      <c r="E675" s="5"/>
      <c r="F675" s="5"/>
      <c r="G675" s="5"/>
      <c r="H675" s="5"/>
      <c r="I675" s="5"/>
      <c r="J675" s="5"/>
      <c r="K675" s="92"/>
      <c r="L675" s="13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129"/>
      <c r="B676" s="5"/>
      <c r="C676" s="5"/>
      <c r="D676" s="5"/>
      <c r="E676" s="5"/>
      <c r="F676" s="5"/>
      <c r="G676" s="5"/>
      <c r="H676" s="5"/>
      <c r="I676" s="5"/>
      <c r="J676" s="5"/>
      <c r="K676" s="92"/>
      <c r="L676" s="13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129"/>
      <c r="B677" s="5"/>
      <c r="C677" s="5"/>
      <c r="D677" s="5"/>
      <c r="E677" s="5"/>
      <c r="F677" s="5"/>
      <c r="G677" s="5"/>
      <c r="H677" s="5"/>
      <c r="I677" s="5"/>
      <c r="J677" s="5"/>
      <c r="K677" s="92"/>
      <c r="L677" s="13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129"/>
      <c r="B678" s="5"/>
      <c r="C678" s="5"/>
      <c r="D678" s="5"/>
      <c r="E678" s="5"/>
      <c r="F678" s="5"/>
      <c r="G678" s="5"/>
      <c r="H678" s="5"/>
      <c r="I678" s="5"/>
      <c r="J678" s="5"/>
      <c r="K678" s="92"/>
      <c r="L678" s="13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129"/>
      <c r="B679" s="5"/>
      <c r="C679" s="5"/>
      <c r="D679" s="5"/>
      <c r="E679" s="5"/>
      <c r="F679" s="5"/>
      <c r="G679" s="5"/>
      <c r="H679" s="5"/>
      <c r="I679" s="5"/>
      <c r="J679" s="5"/>
      <c r="K679" s="92"/>
      <c r="L679" s="13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129"/>
      <c r="B680" s="5"/>
      <c r="C680" s="5"/>
      <c r="D680" s="5"/>
      <c r="E680" s="5"/>
      <c r="F680" s="5"/>
      <c r="G680" s="5"/>
      <c r="H680" s="5"/>
      <c r="I680" s="5"/>
      <c r="J680" s="5"/>
      <c r="K680" s="92"/>
      <c r="L680" s="13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129"/>
      <c r="B681" s="5"/>
      <c r="C681" s="5"/>
      <c r="D681" s="5"/>
      <c r="E681" s="5"/>
      <c r="F681" s="5"/>
      <c r="G681" s="5"/>
      <c r="H681" s="5"/>
      <c r="I681" s="5"/>
      <c r="J681" s="5"/>
      <c r="K681" s="92"/>
      <c r="L681" s="13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129"/>
      <c r="B682" s="5"/>
      <c r="C682" s="5"/>
      <c r="D682" s="5"/>
      <c r="E682" s="5"/>
      <c r="F682" s="5"/>
      <c r="G682" s="5"/>
      <c r="H682" s="5"/>
      <c r="I682" s="5"/>
      <c r="J682" s="5"/>
      <c r="K682" s="92"/>
      <c r="L682" s="13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129"/>
      <c r="B683" s="5"/>
      <c r="C683" s="5"/>
      <c r="D683" s="5"/>
      <c r="E683" s="5"/>
      <c r="F683" s="5"/>
      <c r="G683" s="5"/>
      <c r="H683" s="5"/>
      <c r="I683" s="5"/>
      <c r="J683" s="5"/>
      <c r="K683" s="92"/>
      <c r="L683" s="13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129"/>
      <c r="B684" s="5"/>
      <c r="C684" s="5"/>
      <c r="D684" s="5"/>
      <c r="E684" s="5"/>
      <c r="F684" s="5"/>
      <c r="G684" s="5"/>
      <c r="H684" s="5"/>
      <c r="I684" s="5"/>
      <c r="J684" s="5"/>
      <c r="K684" s="92"/>
      <c r="L684" s="13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129"/>
      <c r="B685" s="5"/>
      <c r="C685" s="5"/>
      <c r="D685" s="5"/>
      <c r="E685" s="5"/>
      <c r="F685" s="5"/>
      <c r="G685" s="5"/>
      <c r="H685" s="5"/>
      <c r="I685" s="5"/>
      <c r="J685" s="5"/>
      <c r="K685" s="92"/>
      <c r="L685" s="13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129"/>
      <c r="B686" s="5"/>
      <c r="C686" s="5"/>
      <c r="D686" s="5"/>
      <c r="E686" s="5"/>
      <c r="F686" s="5"/>
      <c r="G686" s="5"/>
      <c r="H686" s="5"/>
      <c r="I686" s="5"/>
      <c r="J686" s="5"/>
      <c r="K686" s="92"/>
      <c r="L686" s="13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129"/>
      <c r="B687" s="5"/>
      <c r="C687" s="5"/>
      <c r="D687" s="5"/>
      <c r="E687" s="5"/>
      <c r="F687" s="5"/>
      <c r="G687" s="5"/>
      <c r="H687" s="5"/>
      <c r="I687" s="5"/>
      <c r="J687" s="5"/>
      <c r="K687" s="92"/>
      <c r="L687" s="13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129"/>
      <c r="B688" s="5"/>
      <c r="C688" s="5"/>
      <c r="D688" s="5"/>
      <c r="E688" s="5"/>
      <c r="F688" s="5"/>
      <c r="G688" s="5"/>
      <c r="H688" s="5"/>
      <c r="I688" s="5"/>
      <c r="J688" s="5"/>
      <c r="K688" s="92"/>
      <c r="L688" s="13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129"/>
      <c r="B689" s="5"/>
      <c r="C689" s="5"/>
      <c r="D689" s="5"/>
      <c r="E689" s="5"/>
      <c r="F689" s="5"/>
      <c r="G689" s="5"/>
      <c r="H689" s="5"/>
      <c r="I689" s="5"/>
      <c r="J689" s="5"/>
      <c r="K689" s="92"/>
      <c r="L689" s="13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129"/>
      <c r="B690" s="5"/>
      <c r="C690" s="5"/>
      <c r="D690" s="5"/>
      <c r="E690" s="5"/>
      <c r="F690" s="5"/>
      <c r="G690" s="5"/>
      <c r="H690" s="5"/>
      <c r="I690" s="5"/>
      <c r="J690" s="5"/>
      <c r="K690" s="92"/>
      <c r="L690" s="13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129"/>
      <c r="B691" s="5"/>
      <c r="C691" s="5"/>
      <c r="D691" s="5"/>
      <c r="E691" s="5"/>
      <c r="F691" s="5"/>
      <c r="G691" s="5"/>
      <c r="H691" s="5"/>
      <c r="I691" s="5"/>
      <c r="J691" s="5"/>
      <c r="K691" s="92"/>
      <c r="L691" s="13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129"/>
      <c r="B692" s="5"/>
      <c r="C692" s="5"/>
      <c r="D692" s="5"/>
      <c r="E692" s="5"/>
      <c r="F692" s="5"/>
      <c r="G692" s="5"/>
      <c r="H692" s="5"/>
      <c r="I692" s="5"/>
      <c r="J692" s="5"/>
      <c r="K692" s="92"/>
      <c r="L692" s="13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129"/>
      <c r="B693" s="5"/>
      <c r="C693" s="5"/>
      <c r="D693" s="5"/>
      <c r="E693" s="5"/>
      <c r="F693" s="5"/>
      <c r="G693" s="5"/>
      <c r="H693" s="5"/>
      <c r="I693" s="5"/>
      <c r="J693" s="5"/>
      <c r="K693" s="92"/>
      <c r="L693" s="13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129"/>
      <c r="B694" s="5"/>
      <c r="C694" s="5"/>
      <c r="D694" s="5"/>
      <c r="E694" s="5"/>
      <c r="F694" s="5"/>
      <c r="G694" s="5"/>
      <c r="H694" s="5"/>
      <c r="I694" s="5"/>
      <c r="J694" s="5"/>
      <c r="K694" s="92"/>
      <c r="L694" s="13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129"/>
      <c r="B695" s="5"/>
      <c r="C695" s="5"/>
      <c r="D695" s="5"/>
      <c r="E695" s="5"/>
      <c r="F695" s="5"/>
      <c r="G695" s="5"/>
      <c r="H695" s="5"/>
      <c r="I695" s="5"/>
      <c r="J695" s="5"/>
      <c r="K695" s="92"/>
      <c r="L695" s="13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129"/>
      <c r="B696" s="5"/>
      <c r="C696" s="5"/>
      <c r="D696" s="5"/>
      <c r="E696" s="5"/>
      <c r="F696" s="5"/>
      <c r="G696" s="5"/>
      <c r="H696" s="5"/>
      <c r="I696" s="5"/>
      <c r="J696" s="5"/>
      <c r="K696" s="92"/>
      <c r="L696" s="13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129"/>
      <c r="B697" s="5"/>
      <c r="C697" s="5"/>
      <c r="D697" s="5"/>
      <c r="E697" s="5"/>
      <c r="F697" s="5"/>
      <c r="G697" s="5"/>
      <c r="H697" s="5"/>
      <c r="I697" s="5"/>
      <c r="J697" s="5"/>
      <c r="K697" s="92"/>
      <c r="L697" s="13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129"/>
      <c r="B698" s="5"/>
      <c r="C698" s="5"/>
      <c r="D698" s="5"/>
      <c r="E698" s="5"/>
      <c r="F698" s="5"/>
      <c r="G698" s="5"/>
      <c r="H698" s="5"/>
      <c r="I698" s="5"/>
      <c r="J698" s="5"/>
      <c r="K698" s="92"/>
      <c r="L698" s="13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129"/>
      <c r="B699" s="5"/>
      <c r="C699" s="5"/>
      <c r="D699" s="5"/>
      <c r="E699" s="5"/>
      <c r="F699" s="5"/>
      <c r="G699" s="5"/>
      <c r="H699" s="5"/>
      <c r="I699" s="5"/>
      <c r="J699" s="5"/>
      <c r="K699" s="92"/>
      <c r="L699" s="13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129"/>
      <c r="B700" s="5"/>
      <c r="C700" s="5"/>
      <c r="D700" s="5"/>
      <c r="E700" s="5"/>
      <c r="F700" s="5"/>
      <c r="G700" s="5"/>
      <c r="H700" s="5"/>
      <c r="I700" s="5"/>
      <c r="J700" s="5"/>
      <c r="K700" s="92"/>
      <c r="L700" s="13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129"/>
      <c r="B701" s="5"/>
      <c r="C701" s="5"/>
      <c r="D701" s="5"/>
      <c r="E701" s="5"/>
      <c r="F701" s="5"/>
      <c r="G701" s="5"/>
      <c r="H701" s="5"/>
      <c r="I701" s="5"/>
      <c r="J701" s="5"/>
      <c r="K701" s="92"/>
      <c r="L701" s="13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129"/>
      <c r="B702" s="5"/>
      <c r="C702" s="5"/>
      <c r="D702" s="5"/>
      <c r="E702" s="5"/>
      <c r="F702" s="5"/>
      <c r="G702" s="5"/>
      <c r="H702" s="5"/>
      <c r="I702" s="5"/>
      <c r="J702" s="5"/>
      <c r="K702" s="92"/>
      <c r="L702" s="13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129"/>
      <c r="B703" s="5"/>
      <c r="C703" s="5"/>
      <c r="D703" s="5"/>
      <c r="E703" s="5"/>
      <c r="F703" s="5"/>
      <c r="G703" s="5"/>
      <c r="H703" s="5"/>
      <c r="I703" s="5"/>
      <c r="J703" s="5"/>
      <c r="K703" s="92"/>
      <c r="L703" s="13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129"/>
      <c r="B704" s="5"/>
      <c r="C704" s="5"/>
      <c r="D704" s="5"/>
      <c r="E704" s="5"/>
      <c r="F704" s="5"/>
      <c r="G704" s="5"/>
      <c r="H704" s="5"/>
      <c r="I704" s="5"/>
      <c r="J704" s="5"/>
      <c r="K704" s="92"/>
      <c r="L704" s="13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129"/>
      <c r="B705" s="5"/>
      <c r="C705" s="5"/>
      <c r="D705" s="5"/>
      <c r="E705" s="5"/>
      <c r="F705" s="5"/>
      <c r="G705" s="5"/>
      <c r="H705" s="5"/>
      <c r="I705" s="5"/>
      <c r="J705" s="5"/>
      <c r="K705" s="92"/>
      <c r="L705" s="13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129"/>
      <c r="B706" s="5"/>
      <c r="C706" s="5"/>
      <c r="D706" s="5"/>
      <c r="E706" s="5"/>
      <c r="F706" s="5"/>
      <c r="G706" s="5"/>
      <c r="H706" s="5"/>
      <c r="I706" s="5"/>
      <c r="J706" s="5"/>
      <c r="K706" s="92"/>
      <c r="L706" s="13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129"/>
      <c r="B707" s="5"/>
      <c r="C707" s="5"/>
      <c r="D707" s="5"/>
      <c r="E707" s="5"/>
      <c r="F707" s="5"/>
      <c r="G707" s="5"/>
      <c r="H707" s="5"/>
      <c r="I707" s="5"/>
      <c r="J707" s="5"/>
      <c r="K707" s="92"/>
      <c r="L707" s="13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129"/>
      <c r="B708" s="5"/>
      <c r="C708" s="5"/>
      <c r="D708" s="5"/>
      <c r="E708" s="5"/>
      <c r="F708" s="5"/>
      <c r="G708" s="5"/>
      <c r="H708" s="5"/>
      <c r="I708" s="5"/>
      <c r="J708" s="5"/>
      <c r="K708" s="92"/>
      <c r="L708" s="13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129"/>
      <c r="B709" s="5"/>
      <c r="C709" s="5"/>
      <c r="D709" s="5"/>
      <c r="E709" s="5"/>
      <c r="F709" s="5"/>
      <c r="G709" s="5"/>
      <c r="H709" s="5"/>
      <c r="I709" s="5"/>
      <c r="J709" s="5"/>
      <c r="K709" s="92"/>
      <c r="L709" s="13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129"/>
      <c r="B710" s="5"/>
      <c r="C710" s="5"/>
      <c r="D710" s="5"/>
      <c r="E710" s="5"/>
      <c r="F710" s="5"/>
      <c r="G710" s="5"/>
      <c r="H710" s="5"/>
      <c r="I710" s="5"/>
      <c r="J710" s="5"/>
      <c r="K710" s="92"/>
      <c r="L710" s="13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129"/>
      <c r="B711" s="5"/>
      <c r="C711" s="5"/>
      <c r="D711" s="5"/>
      <c r="E711" s="5"/>
      <c r="F711" s="5"/>
      <c r="G711" s="5"/>
      <c r="H711" s="5"/>
      <c r="I711" s="5"/>
      <c r="J711" s="5"/>
      <c r="K711" s="92"/>
      <c r="L711" s="13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129"/>
      <c r="B712" s="5"/>
      <c r="C712" s="5"/>
      <c r="D712" s="5"/>
      <c r="E712" s="5"/>
      <c r="F712" s="5"/>
      <c r="G712" s="5"/>
      <c r="H712" s="5"/>
      <c r="I712" s="5"/>
      <c r="J712" s="5"/>
      <c r="K712" s="92"/>
      <c r="L712" s="13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129"/>
      <c r="B713" s="5"/>
      <c r="C713" s="5"/>
      <c r="D713" s="5"/>
      <c r="E713" s="5"/>
      <c r="F713" s="5"/>
      <c r="G713" s="5"/>
      <c r="H713" s="5"/>
      <c r="I713" s="5"/>
      <c r="J713" s="5"/>
      <c r="K713" s="92"/>
      <c r="L713" s="13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129"/>
      <c r="B714" s="5"/>
      <c r="C714" s="5"/>
      <c r="D714" s="5"/>
      <c r="E714" s="5"/>
      <c r="F714" s="5"/>
      <c r="G714" s="5"/>
      <c r="H714" s="5"/>
      <c r="I714" s="5"/>
      <c r="J714" s="5"/>
      <c r="K714" s="92"/>
      <c r="L714" s="13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129"/>
      <c r="B715" s="5"/>
      <c r="C715" s="5"/>
      <c r="D715" s="5"/>
      <c r="E715" s="5"/>
      <c r="F715" s="5"/>
      <c r="G715" s="5"/>
      <c r="H715" s="5"/>
      <c r="I715" s="5"/>
      <c r="J715" s="5"/>
      <c r="K715" s="92"/>
      <c r="L715" s="13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129"/>
      <c r="B716" s="5"/>
      <c r="C716" s="5"/>
      <c r="D716" s="5"/>
      <c r="E716" s="5"/>
      <c r="F716" s="5"/>
      <c r="G716" s="5"/>
      <c r="H716" s="5"/>
      <c r="I716" s="5"/>
      <c r="J716" s="5"/>
      <c r="K716" s="92"/>
      <c r="L716" s="13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129"/>
      <c r="B717" s="5"/>
      <c r="C717" s="5"/>
      <c r="D717" s="5"/>
      <c r="E717" s="5"/>
      <c r="F717" s="5"/>
      <c r="G717" s="5"/>
      <c r="H717" s="5"/>
      <c r="I717" s="5"/>
      <c r="J717" s="5"/>
      <c r="K717" s="92"/>
      <c r="L717" s="13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129"/>
      <c r="B718" s="5"/>
      <c r="C718" s="5"/>
      <c r="D718" s="5"/>
      <c r="E718" s="5"/>
      <c r="F718" s="5"/>
      <c r="G718" s="5"/>
      <c r="H718" s="5"/>
      <c r="I718" s="5"/>
      <c r="J718" s="5"/>
      <c r="K718" s="92"/>
      <c r="L718" s="13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129"/>
      <c r="B719" s="5"/>
      <c r="C719" s="5"/>
      <c r="D719" s="5"/>
      <c r="E719" s="5"/>
      <c r="F719" s="5"/>
      <c r="G719" s="5"/>
      <c r="H719" s="5"/>
      <c r="I719" s="5"/>
      <c r="J719" s="5"/>
      <c r="K719" s="92"/>
      <c r="L719" s="13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129"/>
      <c r="B720" s="5"/>
      <c r="C720" s="5"/>
      <c r="D720" s="5"/>
      <c r="E720" s="5"/>
      <c r="F720" s="5"/>
      <c r="G720" s="5"/>
      <c r="H720" s="5"/>
      <c r="I720" s="5"/>
      <c r="J720" s="5"/>
      <c r="K720" s="92"/>
      <c r="L720" s="13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129"/>
      <c r="B721" s="5"/>
      <c r="C721" s="5"/>
      <c r="D721" s="5"/>
      <c r="E721" s="5"/>
      <c r="F721" s="5"/>
      <c r="G721" s="5"/>
      <c r="H721" s="5"/>
      <c r="I721" s="5"/>
      <c r="J721" s="5"/>
      <c r="K721" s="92"/>
      <c r="L721" s="13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129"/>
      <c r="B722" s="5"/>
      <c r="C722" s="5"/>
      <c r="D722" s="5"/>
      <c r="E722" s="5"/>
      <c r="F722" s="5"/>
      <c r="G722" s="5"/>
      <c r="H722" s="5"/>
      <c r="I722" s="5"/>
      <c r="J722" s="5"/>
      <c r="K722" s="92"/>
      <c r="L722" s="13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129"/>
      <c r="B723" s="5"/>
      <c r="C723" s="5"/>
      <c r="D723" s="5"/>
      <c r="E723" s="5"/>
      <c r="F723" s="5"/>
      <c r="G723" s="5"/>
      <c r="H723" s="5"/>
      <c r="I723" s="5"/>
      <c r="J723" s="5"/>
      <c r="K723" s="92"/>
      <c r="L723" s="13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129"/>
      <c r="B724" s="5"/>
      <c r="C724" s="5"/>
      <c r="D724" s="5"/>
      <c r="E724" s="5"/>
      <c r="F724" s="5"/>
      <c r="G724" s="5"/>
      <c r="H724" s="5"/>
      <c r="I724" s="5"/>
      <c r="J724" s="5"/>
      <c r="K724" s="92"/>
      <c r="L724" s="13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129"/>
      <c r="B725" s="5"/>
      <c r="C725" s="5"/>
      <c r="D725" s="5"/>
      <c r="E725" s="5"/>
      <c r="F725" s="5"/>
      <c r="G725" s="5"/>
      <c r="H725" s="5"/>
      <c r="I725" s="5"/>
      <c r="J725" s="5"/>
      <c r="K725" s="92"/>
      <c r="L725" s="13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129"/>
      <c r="B726" s="5"/>
      <c r="C726" s="5"/>
      <c r="D726" s="5"/>
      <c r="E726" s="5"/>
      <c r="F726" s="5"/>
      <c r="G726" s="5"/>
      <c r="H726" s="5"/>
      <c r="I726" s="5"/>
      <c r="J726" s="5"/>
      <c r="K726" s="92"/>
      <c r="L726" s="13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129"/>
      <c r="B727" s="5"/>
      <c r="C727" s="5"/>
      <c r="D727" s="5"/>
      <c r="E727" s="5"/>
      <c r="F727" s="5"/>
      <c r="G727" s="5"/>
      <c r="H727" s="5"/>
      <c r="I727" s="5"/>
      <c r="J727" s="5"/>
      <c r="K727" s="92"/>
      <c r="L727" s="13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129"/>
      <c r="B728" s="5"/>
      <c r="C728" s="5"/>
      <c r="D728" s="5"/>
      <c r="E728" s="5"/>
      <c r="F728" s="5"/>
      <c r="G728" s="5"/>
      <c r="H728" s="5"/>
      <c r="I728" s="5"/>
      <c r="J728" s="5"/>
      <c r="K728" s="92"/>
      <c r="L728" s="13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129"/>
      <c r="B729" s="5"/>
      <c r="C729" s="5"/>
      <c r="D729" s="5"/>
      <c r="E729" s="5"/>
      <c r="F729" s="5"/>
      <c r="G729" s="5"/>
      <c r="H729" s="5"/>
      <c r="I729" s="5"/>
      <c r="J729" s="5"/>
      <c r="K729" s="92"/>
      <c r="L729" s="13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129"/>
      <c r="B730" s="5"/>
      <c r="C730" s="5"/>
      <c r="D730" s="5"/>
      <c r="E730" s="5"/>
      <c r="F730" s="5"/>
      <c r="G730" s="5"/>
      <c r="H730" s="5"/>
      <c r="I730" s="5"/>
      <c r="J730" s="5"/>
      <c r="K730" s="92"/>
      <c r="L730" s="13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129"/>
      <c r="B731" s="5"/>
      <c r="C731" s="5"/>
      <c r="D731" s="5"/>
      <c r="E731" s="5"/>
      <c r="F731" s="5"/>
      <c r="G731" s="5"/>
      <c r="H731" s="5"/>
      <c r="I731" s="5"/>
      <c r="J731" s="5"/>
      <c r="K731" s="92"/>
      <c r="L731" s="13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129"/>
      <c r="B732" s="5"/>
      <c r="C732" s="5"/>
      <c r="D732" s="5"/>
      <c r="E732" s="5"/>
      <c r="F732" s="5"/>
      <c r="G732" s="5"/>
      <c r="H732" s="5"/>
      <c r="I732" s="5"/>
      <c r="J732" s="5"/>
      <c r="K732" s="92"/>
      <c r="L732" s="13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129"/>
      <c r="B733" s="5"/>
      <c r="C733" s="5"/>
      <c r="D733" s="5"/>
      <c r="E733" s="5"/>
      <c r="F733" s="5"/>
      <c r="G733" s="5"/>
      <c r="H733" s="5"/>
      <c r="I733" s="5"/>
      <c r="J733" s="5"/>
      <c r="K733" s="92"/>
      <c r="L733" s="13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129"/>
      <c r="B734" s="5"/>
      <c r="C734" s="5"/>
      <c r="D734" s="5"/>
      <c r="E734" s="5"/>
      <c r="F734" s="5"/>
      <c r="G734" s="5"/>
      <c r="H734" s="5"/>
      <c r="I734" s="5"/>
      <c r="J734" s="5"/>
      <c r="K734" s="92"/>
      <c r="L734" s="13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129"/>
      <c r="B735" s="5"/>
      <c r="C735" s="5"/>
      <c r="D735" s="5"/>
      <c r="E735" s="5"/>
      <c r="F735" s="5"/>
      <c r="G735" s="5"/>
      <c r="H735" s="5"/>
      <c r="I735" s="5"/>
      <c r="J735" s="5"/>
      <c r="K735" s="92"/>
      <c r="L735" s="13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129"/>
      <c r="B736" s="5"/>
      <c r="C736" s="5"/>
      <c r="D736" s="5"/>
      <c r="E736" s="5"/>
      <c r="F736" s="5"/>
      <c r="G736" s="5"/>
      <c r="H736" s="5"/>
      <c r="I736" s="5"/>
      <c r="J736" s="5"/>
      <c r="K736" s="92"/>
      <c r="L736" s="13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129"/>
      <c r="B737" s="5"/>
      <c r="C737" s="5"/>
      <c r="D737" s="5"/>
      <c r="E737" s="5"/>
      <c r="F737" s="5"/>
      <c r="G737" s="5"/>
      <c r="H737" s="5"/>
      <c r="I737" s="5"/>
      <c r="J737" s="5"/>
      <c r="K737" s="92"/>
      <c r="L737" s="13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129"/>
      <c r="B738" s="5"/>
      <c r="C738" s="5"/>
      <c r="D738" s="5"/>
      <c r="E738" s="5"/>
      <c r="F738" s="5"/>
      <c r="G738" s="5"/>
      <c r="H738" s="5"/>
      <c r="I738" s="5"/>
      <c r="J738" s="5"/>
      <c r="K738" s="92"/>
      <c r="L738" s="13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129"/>
      <c r="B739" s="5"/>
      <c r="C739" s="5"/>
      <c r="D739" s="5"/>
      <c r="E739" s="5"/>
      <c r="F739" s="5"/>
      <c r="G739" s="5"/>
      <c r="H739" s="5"/>
      <c r="I739" s="5"/>
      <c r="J739" s="5"/>
      <c r="K739" s="92"/>
      <c r="L739" s="13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129"/>
      <c r="B740" s="5"/>
      <c r="C740" s="5"/>
      <c r="D740" s="5"/>
      <c r="E740" s="5"/>
      <c r="F740" s="5"/>
      <c r="G740" s="5"/>
      <c r="H740" s="5"/>
      <c r="I740" s="5"/>
      <c r="J740" s="5"/>
      <c r="K740" s="92"/>
      <c r="L740" s="13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129"/>
      <c r="B741" s="5"/>
      <c r="C741" s="5"/>
      <c r="D741" s="5"/>
      <c r="E741" s="5"/>
      <c r="F741" s="5"/>
      <c r="G741" s="5"/>
      <c r="H741" s="5"/>
      <c r="I741" s="5"/>
      <c r="J741" s="5"/>
      <c r="K741" s="92"/>
      <c r="L741" s="13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129"/>
      <c r="B742" s="5"/>
      <c r="C742" s="5"/>
      <c r="D742" s="5"/>
      <c r="E742" s="5"/>
      <c r="F742" s="5"/>
      <c r="G742" s="5"/>
      <c r="H742" s="5"/>
      <c r="I742" s="5"/>
      <c r="J742" s="5"/>
      <c r="K742" s="92"/>
      <c r="L742" s="13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129"/>
      <c r="B743" s="5"/>
      <c r="C743" s="5"/>
      <c r="D743" s="5"/>
      <c r="E743" s="5"/>
      <c r="F743" s="5"/>
      <c r="G743" s="5"/>
      <c r="H743" s="5"/>
      <c r="I743" s="5"/>
      <c r="J743" s="5"/>
      <c r="K743" s="92"/>
      <c r="L743" s="13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129"/>
      <c r="B744" s="5"/>
      <c r="C744" s="5"/>
      <c r="D744" s="5"/>
      <c r="E744" s="5"/>
      <c r="F744" s="5"/>
      <c r="G744" s="5"/>
      <c r="H744" s="5"/>
      <c r="I744" s="5"/>
      <c r="J744" s="5"/>
      <c r="K744" s="92"/>
      <c r="L744" s="13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129"/>
      <c r="B745" s="5"/>
      <c r="C745" s="5"/>
      <c r="D745" s="5"/>
      <c r="E745" s="5"/>
      <c r="F745" s="5"/>
      <c r="G745" s="5"/>
      <c r="H745" s="5"/>
      <c r="I745" s="5"/>
      <c r="J745" s="5"/>
      <c r="K745" s="92"/>
      <c r="L745" s="13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129"/>
      <c r="B746" s="5"/>
      <c r="C746" s="5"/>
      <c r="D746" s="5"/>
      <c r="E746" s="5"/>
      <c r="F746" s="5"/>
      <c r="G746" s="5"/>
      <c r="H746" s="5"/>
      <c r="I746" s="5"/>
      <c r="J746" s="5"/>
      <c r="K746" s="92"/>
      <c r="L746" s="13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129"/>
      <c r="B747" s="5"/>
      <c r="C747" s="5"/>
      <c r="D747" s="5"/>
      <c r="E747" s="5"/>
      <c r="F747" s="5"/>
      <c r="G747" s="5"/>
      <c r="H747" s="5"/>
      <c r="I747" s="5"/>
      <c r="J747" s="5"/>
      <c r="K747" s="92"/>
      <c r="L747" s="13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129"/>
      <c r="B748" s="5"/>
      <c r="C748" s="5"/>
      <c r="D748" s="5"/>
      <c r="E748" s="5"/>
      <c r="F748" s="5"/>
      <c r="G748" s="5"/>
      <c r="H748" s="5"/>
      <c r="I748" s="5"/>
      <c r="J748" s="5"/>
      <c r="K748" s="92"/>
      <c r="L748" s="13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129"/>
      <c r="B749" s="5"/>
      <c r="C749" s="5"/>
      <c r="D749" s="5"/>
      <c r="E749" s="5"/>
      <c r="F749" s="5"/>
      <c r="G749" s="5"/>
      <c r="H749" s="5"/>
      <c r="I749" s="5"/>
      <c r="J749" s="5"/>
      <c r="K749" s="92"/>
      <c r="L749" s="13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129"/>
      <c r="B750" s="5"/>
      <c r="C750" s="5"/>
      <c r="D750" s="5"/>
      <c r="E750" s="5"/>
      <c r="F750" s="5"/>
      <c r="G750" s="5"/>
      <c r="H750" s="5"/>
      <c r="I750" s="5"/>
      <c r="J750" s="5"/>
      <c r="K750" s="92"/>
      <c r="L750" s="13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129"/>
      <c r="B751" s="5"/>
      <c r="C751" s="5"/>
      <c r="D751" s="5"/>
      <c r="E751" s="5"/>
      <c r="F751" s="5"/>
      <c r="G751" s="5"/>
      <c r="H751" s="5"/>
      <c r="I751" s="5"/>
      <c r="J751" s="5"/>
      <c r="K751" s="92"/>
      <c r="L751" s="13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129"/>
      <c r="B752" s="5"/>
      <c r="C752" s="5"/>
      <c r="D752" s="5"/>
      <c r="E752" s="5"/>
      <c r="F752" s="5"/>
      <c r="G752" s="5"/>
      <c r="H752" s="5"/>
      <c r="I752" s="5"/>
      <c r="J752" s="5"/>
      <c r="K752" s="92"/>
      <c r="L752" s="13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129"/>
      <c r="B753" s="5"/>
      <c r="C753" s="5"/>
      <c r="D753" s="5"/>
      <c r="E753" s="5"/>
      <c r="F753" s="5"/>
      <c r="G753" s="5"/>
      <c r="H753" s="5"/>
      <c r="I753" s="5"/>
      <c r="J753" s="5"/>
      <c r="K753" s="92"/>
      <c r="L753" s="13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129"/>
      <c r="B754" s="5"/>
      <c r="C754" s="5"/>
      <c r="D754" s="5"/>
      <c r="E754" s="5"/>
      <c r="F754" s="5"/>
      <c r="G754" s="5"/>
      <c r="H754" s="5"/>
      <c r="I754" s="5"/>
      <c r="J754" s="5"/>
      <c r="K754" s="92"/>
      <c r="L754" s="13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129"/>
      <c r="B755" s="5"/>
      <c r="C755" s="5"/>
      <c r="D755" s="5"/>
      <c r="E755" s="5"/>
      <c r="F755" s="5"/>
      <c r="G755" s="5"/>
      <c r="H755" s="5"/>
      <c r="I755" s="5"/>
      <c r="J755" s="5"/>
      <c r="K755" s="92"/>
      <c r="L755" s="13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129"/>
      <c r="B756" s="5"/>
      <c r="C756" s="5"/>
      <c r="D756" s="5"/>
      <c r="E756" s="5"/>
      <c r="F756" s="5"/>
      <c r="G756" s="5"/>
      <c r="H756" s="5"/>
      <c r="I756" s="5"/>
      <c r="J756" s="5"/>
      <c r="K756" s="92"/>
      <c r="L756" s="13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129"/>
      <c r="B757" s="5"/>
      <c r="C757" s="5"/>
      <c r="D757" s="5"/>
      <c r="E757" s="5"/>
      <c r="F757" s="5"/>
      <c r="G757" s="5"/>
      <c r="H757" s="5"/>
      <c r="I757" s="5"/>
      <c r="J757" s="5"/>
      <c r="K757" s="92"/>
      <c r="L757" s="13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129"/>
      <c r="B758" s="5"/>
      <c r="C758" s="5"/>
      <c r="D758" s="5"/>
      <c r="E758" s="5"/>
      <c r="F758" s="5"/>
      <c r="G758" s="5"/>
      <c r="H758" s="5"/>
      <c r="I758" s="5"/>
      <c r="J758" s="5"/>
      <c r="K758" s="92"/>
      <c r="L758" s="13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129"/>
      <c r="B759" s="5"/>
      <c r="C759" s="5"/>
      <c r="D759" s="5"/>
      <c r="E759" s="5"/>
      <c r="F759" s="5"/>
      <c r="G759" s="5"/>
      <c r="H759" s="5"/>
      <c r="I759" s="5"/>
      <c r="J759" s="5"/>
      <c r="K759" s="92"/>
      <c r="L759" s="13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129"/>
      <c r="B760" s="5"/>
      <c r="C760" s="5"/>
      <c r="D760" s="5"/>
      <c r="E760" s="5"/>
      <c r="F760" s="5"/>
      <c r="G760" s="5"/>
      <c r="H760" s="5"/>
      <c r="I760" s="5"/>
      <c r="J760" s="5"/>
      <c r="K760" s="92"/>
      <c r="L760" s="13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129"/>
      <c r="B761" s="5"/>
      <c r="C761" s="5"/>
      <c r="D761" s="5"/>
      <c r="E761" s="5"/>
      <c r="F761" s="5"/>
      <c r="G761" s="5"/>
      <c r="H761" s="5"/>
      <c r="I761" s="5"/>
      <c r="J761" s="5"/>
      <c r="K761" s="92"/>
      <c r="L761" s="13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129"/>
      <c r="B762" s="5"/>
      <c r="C762" s="5"/>
      <c r="D762" s="5"/>
      <c r="E762" s="5"/>
      <c r="F762" s="5"/>
      <c r="G762" s="5"/>
      <c r="H762" s="5"/>
      <c r="I762" s="5"/>
      <c r="J762" s="5"/>
      <c r="K762" s="92"/>
      <c r="L762" s="13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129"/>
      <c r="B763" s="5"/>
      <c r="C763" s="5"/>
      <c r="D763" s="5"/>
      <c r="E763" s="5"/>
      <c r="F763" s="5"/>
      <c r="G763" s="5"/>
      <c r="H763" s="5"/>
      <c r="I763" s="5"/>
      <c r="J763" s="5"/>
      <c r="K763" s="92"/>
      <c r="L763" s="13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129"/>
      <c r="B764" s="5"/>
      <c r="C764" s="5"/>
      <c r="D764" s="5"/>
      <c r="E764" s="5"/>
      <c r="F764" s="5"/>
      <c r="G764" s="5"/>
      <c r="H764" s="5"/>
      <c r="I764" s="5"/>
      <c r="J764" s="5"/>
      <c r="K764" s="92"/>
      <c r="L764" s="13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129"/>
      <c r="B765" s="5"/>
      <c r="C765" s="5"/>
      <c r="D765" s="5"/>
      <c r="E765" s="5"/>
      <c r="F765" s="5"/>
      <c r="G765" s="5"/>
      <c r="H765" s="5"/>
      <c r="I765" s="5"/>
      <c r="J765" s="5"/>
      <c r="K765" s="92"/>
      <c r="L765" s="13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129"/>
      <c r="B766" s="5"/>
      <c r="C766" s="5"/>
      <c r="D766" s="5"/>
      <c r="E766" s="5"/>
      <c r="F766" s="5"/>
      <c r="G766" s="5"/>
      <c r="H766" s="5"/>
      <c r="I766" s="5"/>
      <c r="J766" s="5"/>
      <c r="K766" s="92"/>
      <c r="L766" s="13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129"/>
      <c r="B767" s="5"/>
      <c r="C767" s="5"/>
      <c r="D767" s="5"/>
      <c r="E767" s="5"/>
      <c r="F767" s="5"/>
      <c r="G767" s="5"/>
      <c r="H767" s="5"/>
      <c r="I767" s="5"/>
      <c r="J767" s="5"/>
      <c r="K767" s="92"/>
      <c r="L767" s="13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129"/>
      <c r="B768" s="5"/>
      <c r="C768" s="5"/>
      <c r="D768" s="5"/>
      <c r="E768" s="5"/>
      <c r="F768" s="5"/>
      <c r="G768" s="5"/>
      <c r="H768" s="5"/>
      <c r="I768" s="5"/>
      <c r="J768" s="5"/>
      <c r="K768" s="92"/>
      <c r="L768" s="13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129"/>
      <c r="B769" s="5"/>
      <c r="C769" s="5"/>
      <c r="D769" s="5"/>
      <c r="E769" s="5"/>
      <c r="F769" s="5"/>
      <c r="G769" s="5"/>
      <c r="H769" s="5"/>
      <c r="I769" s="5"/>
      <c r="J769" s="5"/>
      <c r="K769" s="92"/>
      <c r="L769" s="13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129"/>
      <c r="B770" s="5"/>
      <c r="C770" s="5"/>
      <c r="D770" s="5"/>
      <c r="E770" s="5"/>
      <c r="F770" s="5"/>
      <c r="G770" s="5"/>
      <c r="H770" s="5"/>
      <c r="I770" s="5"/>
      <c r="J770" s="5"/>
      <c r="K770" s="92"/>
      <c r="L770" s="13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129"/>
      <c r="B771" s="5"/>
      <c r="C771" s="5"/>
      <c r="D771" s="5"/>
      <c r="E771" s="5"/>
      <c r="F771" s="5"/>
      <c r="G771" s="5"/>
      <c r="H771" s="5"/>
      <c r="I771" s="5"/>
      <c r="J771" s="5"/>
      <c r="K771" s="92"/>
      <c r="L771" s="13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129"/>
      <c r="B772" s="5"/>
      <c r="C772" s="5"/>
      <c r="D772" s="5"/>
      <c r="E772" s="5"/>
      <c r="F772" s="5"/>
      <c r="G772" s="5"/>
      <c r="H772" s="5"/>
      <c r="I772" s="5"/>
      <c r="J772" s="5"/>
      <c r="K772" s="92"/>
      <c r="L772" s="13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129"/>
      <c r="B773" s="5"/>
      <c r="C773" s="5"/>
      <c r="D773" s="5"/>
      <c r="E773" s="5"/>
      <c r="F773" s="5"/>
      <c r="G773" s="5"/>
      <c r="H773" s="5"/>
      <c r="I773" s="5"/>
      <c r="J773" s="5"/>
      <c r="K773" s="92"/>
      <c r="L773" s="13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129"/>
      <c r="B774" s="5"/>
      <c r="C774" s="5"/>
      <c r="D774" s="5"/>
      <c r="E774" s="5"/>
      <c r="F774" s="5"/>
      <c r="G774" s="5"/>
      <c r="H774" s="5"/>
      <c r="I774" s="5"/>
      <c r="J774" s="5"/>
      <c r="K774" s="92"/>
      <c r="L774" s="13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129"/>
      <c r="B775" s="5"/>
      <c r="C775" s="5"/>
      <c r="D775" s="5"/>
      <c r="E775" s="5"/>
      <c r="F775" s="5"/>
      <c r="G775" s="5"/>
      <c r="H775" s="5"/>
      <c r="I775" s="5"/>
      <c r="J775" s="5"/>
      <c r="K775" s="92"/>
      <c r="L775" s="13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129"/>
      <c r="B776" s="5"/>
      <c r="C776" s="5"/>
      <c r="D776" s="5"/>
      <c r="E776" s="5"/>
      <c r="F776" s="5"/>
      <c r="G776" s="5"/>
      <c r="H776" s="5"/>
      <c r="I776" s="5"/>
      <c r="J776" s="5"/>
      <c r="K776" s="92"/>
      <c r="L776" s="13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129"/>
      <c r="B777" s="5"/>
      <c r="C777" s="5"/>
      <c r="D777" s="5"/>
      <c r="E777" s="5"/>
      <c r="F777" s="5"/>
      <c r="G777" s="5"/>
      <c r="H777" s="5"/>
      <c r="I777" s="5"/>
      <c r="J777" s="5"/>
      <c r="K777" s="92"/>
      <c r="L777" s="13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129"/>
      <c r="B778" s="5"/>
      <c r="C778" s="5"/>
      <c r="D778" s="5"/>
      <c r="E778" s="5"/>
      <c r="F778" s="5"/>
      <c r="G778" s="5"/>
      <c r="H778" s="5"/>
      <c r="I778" s="5"/>
      <c r="J778" s="5"/>
      <c r="K778" s="92"/>
      <c r="L778" s="13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129"/>
      <c r="B779" s="5"/>
      <c r="C779" s="5"/>
      <c r="D779" s="5"/>
      <c r="E779" s="5"/>
      <c r="F779" s="5"/>
      <c r="G779" s="5"/>
      <c r="H779" s="5"/>
      <c r="I779" s="5"/>
      <c r="J779" s="5"/>
      <c r="K779" s="92"/>
      <c r="L779" s="13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129"/>
      <c r="B780" s="5"/>
      <c r="C780" s="5"/>
      <c r="D780" s="5"/>
      <c r="E780" s="5"/>
      <c r="F780" s="5"/>
      <c r="G780" s="5"/>
      <c r="H780" s="5"/>
      <c r="I780" s="5"/>
      <c r="J780" s="5"/>
      <c r="K780" s="92"/>
      <c r="L780" s="13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129"/>
      <c r="B781" s="5"/>
      <c r="C781" s="5"/>
      <c r="D781" s="5"/>
      <c r="E781" s="5"/>
      <c r="F781" s="5"/>
      <c r="G781" s="5"/>
      <c r="H781" s="5"/>
      <c r="I781" s="5"/>
      <c r="J781" s="5"/>
      <c r="K781" s="92"/>
      <c r="L781" s="13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129"/>
      <c r="B782" s="5"/>
      <c r="C782" s="5"/>
      <c r="D782" s="5"/>
      <c r="E782" s="5"/>
      <c r="F782" s="5"/>
      <c r="G782" s="5"/>
      <c r="H782" s="5"/>
      <c r="I782" s="5"/>
      <c r="J782" s="5"/>
      <c r="K782" s="92"/>
      <c r="L782" s="13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129"/>
      <c r="B783" s="5"/>
      <c r="C783" s="5"/>
      <c r="D783" s="5"/>
      <c r="E783" s="5"/>
      <c r="F783" s="5"/>
      <c r="G783" s="5"/>
      <c r="H783" s="5"/>
      <c r="I783" s="5"/>
      <c r="J783" s="5"/>
      <c r="K783" s="92"/>
      <c r="L783" s="13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129"/>
      <c r="B784" s="5"/>
      <c r="C784" s="5"/>
      <c r="D784" s="5"/>
      <c r="E784" s="5"/>
      <c r="F784" s="5"/>
      <c r="G784" s="5"/>
      <c r="H784" s="5"/>
      <c r="I784" s="5"/>
      <c r="J784" s="5"/>
      <c r="K784" s="92"/>
      <c r="L784" s="13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129"/>
      <c r="B785" s="5"/>
      <c r="C785" s="5"/>
      <c r="D785" s="5"/>
      <c r="E785" s="5"/>
      <c r="F785" s="5"/>
      <c r="G785" s="5"/>
      <c r="H785" s="5"/>
      <c r="I785" s="5"/>
      <c r="J785" s="5"/>
      <c r="K785" s="92"/>
      <c r="L785" s="13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129"/>
      <c r="B786" s="5"/>
      <c r="C786" s="5"/>
      <c r="D786" s="5"/>
      <c r="E786" s="5"/>
      <c r="F786" s="5"/>
      <c r="G786" s="5"/>
      <c r="H786" s="5"/>
      <c r="I786" s="5"/>
      <c r="J786" s="5"/>
      <c r="K786" s="92"/>
      <c r="L786" s="13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129"/>
      <c r="B787" s="5"/>
      <c r="C787" s="5"/>
      <c r="D787" s="5"/>
      <c r="E787" s="5"/>
      <c r="F787" s="5"/>
      <c r="G787" s="5"/>
      <c r="H787" s="5"/>
      <c r="I787" s="5"/>
      <c r="J787" s="5"/>
      <c r="K787" s="92"/>
      <c r="L787" s="13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129"/>
      <c r="B788" s="5"/>
      <c r="C788" s="5"/>
      <c r="D788" s="5"/>
      <c r="E788" s="5"/>
      <c r="F788" s="5"/>
      <c r="G788" s="5"/>
      <c r="H788" s="5"/>
      <c r="I788" s="5"/>
      <c r="J788" s="5"/>
      <c r="K788" s="92"/>
      <c r="L788" s="13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129"/>
      <c r="B789" s="5"/>
      <c r="C789" s="5"/>
      <c r="D789" s="5"/>
      <c r="E789" s="5"/>
      <c r="F789" s="5"/>
      <c r="G789" s="5"/>
      <c r="H789" s="5"/>
      <c r="I789" s="5"/>
      <c r="J789" s="5"/>
      <c r="K789" s="92"/>
      <c r="L789" s="13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129"/>
      <c r="B790" s="5"/>
      <c r="C790" s="5"/>
      <c r="D790" s="5"/>
      <c r="E790" s="5"/>
      <c r="F790" s="5"/>
      <c r="G790" s="5"/>
      <c r="H790" s="5"/>
      <c r="I790" s="5"/>
      <c r="J790" s="5"/>
      <c r="K790" s="92"/>
      <c r="L790" s="13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129"/>
      <c r="B791" s="5"/>
      <c r="C791" s="5"/>
      <c r="D791" s="5"/>
      <c r="E791" s="5"/>
      <c r="F791" s="5"/>
      <c r="G791" s="5"/>
      <c r="H791" s="5"/>
      <c r="I791" s="5"/>
      <c r="J791" s="5"/>
      <c r="K791" s="92"/>
      <c r="L791" s="13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129"/>
      <c r="B792" s="5"/>
      <c r="C792" s="5"/>
      <c r="D792" s="5"/>
      <c r="E792" s="5"/>
      <c r="F792" s="5"/>
      <c r="G792" s="5"/>
      <c r="H792" s="5"/>
      <c r="I792" s="5"/>
      <c r="J792" s="5"/>
      <c r="K792" s="92"/>
      <c r="L792" s="13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129"/>
      <c r="B793" s="5"/>
      <c r="C793" s="5"/>
      <c r="D793" s="5"/>
      <c r="E793" s="5"/>
      <c r="F793" s="5"/>
      <c r="G793" s="5"/>
      <c r="H793" s="5"/>
      <c r="I793" s="5"/>
      <c r="J793" s="5"/>
      <c r="K793" s="92"/>
      <c r="L793" s="13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129"/>
      <c r="B794" s="5"/>
      <c r="C794" s="5"/>
      <c r="D794" s="5"/>
      <c r="E794" s="5"/>
      <c r="F794" s="5"/>
      <c r="G794" s="5"/>
      <c r="H794" s="5"/>
      <c r="I794" s="5"/>
      <c r="J794" s="5"/>
      <c r="K794" s="92"/>
      <c r="L794" s="13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129"/>
      <c r="B795" s="5"/>
      <c r="C795" s="5"/>
      <c r="D795" s="5"/>
      <c r="E795" s="5"/>
      <c r="F795" s="5"/>
      <c r="G795" s="5"/>
      <c r="H795" s="5"/>
      <c r="I795" s="5"/>
      <c r="J795" s="5"/>
      <c r="K795" s="92"/>
      <c r="L795" s="13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129"/>
      <c r="B796" s="5"/>
      <c r="C796" s="5"/>
      <c r="D796" s="5"/>
      <c r="E796" s="5"/>
      <c r="F796" s="5"/>
      <c r="G796" s="5"/>
      <c r="H796" s="5"/>
      <c r="I796" s="5"/>
      <c r="J796" s="5"/>
      <c r="K796" s="92"/>
      <c r="L796" s="13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129"/>
      <c r="B797" s="5"/>
      <c r="C797" s="5"/>
      <c r="D797" s="5"/>
      <c r="E797" s="5"/>
      <c r="F797" s="5"/>
      <c r="G797" s="5"/>
      <c r="H797" s="5"/>
      <c r="I797" s="5"/>
      <c r="J797" s="5"/>
      <c r="K797" s="92"/>
      <c r="L797" s="13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129"/>
      <c r="B798" s="5"/>
      <c r="C798" s="5"/>
      <c r="D798" s="5"/>
      <c r="E798" s="5"/>
      <c r="F798" s="5"/>
      <c r="G798" s="5"/>
      <c r="H798" s="5"/>
      <c r="I798" s="5"/>
      <c r="J798" s="5"/>
      <c r="K798" s="92"/>
      <c r="L798" s="13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129"/>
      <c r="B799" s="5"/>
      <c r="C799" s="5"/>
      <c r="D799" s="5"/>
      <c r="E799" s="5"/>
      <c r="F799" s="5"/>
      <c r="G799" s="5"/>
      <c r="H799" s="5"/>
      <c r="I799" s="5"/>
      <c r="J799" s="5"/>
      <c r="K799" s="92"/>
      <c r="L799" s="13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129"/>
      <c r="B800" s="5"/>
      <c r="C800" s="5"/>
      <c r="D800" s="5"/>
      <c r="E800" s="5"/>
      <c r="F800" s="5"/>
      <c r="G800" s="5"/>
      <c r="H800" s="5"/>
      <c r="I800" s="5"/>
      <c r="J800" s="5"/>
      <c r="K800" s="92"/>
      <c r="L800" s="13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129"/>
      <c r="B801" s="5"/>
      <c r="C801" s="5"/>
      <c r="D801" s="5"/>
      <c r="E801" s="5"/>
      <c r="F801" s="5"/>
      <c r="G801" s="5"/>
      <c r="H801" s="5"/>
      <c r="I801" s="5"/>
      <c r="J801" s="5"/>
      <c r="K801" s="92"/>
      <c r="L801" s="13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129"/>
      <c r="B802" s="5"/>
      <c r="C802" s="5"/>
      <c r="D802" s="5"/>
      <c r="E802" s="5"/>
      <c r="F802" s="5"/>
      <c r="G802" s="5"/>
      <c r="H802" s="5"/>
      <c r="I802" s="5"/>
      <c r="J802" s="5"/>
      <c r="K802" s="92"/>
      <c r="L802" s="13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129"/>
      <c r="B803" s="5"/>
      <c r="C803" s="5"/>
      <c r="D803" s="5"/>
      <c r="E803" s="5"/>
      <c r="F803" s="5"/>
      <c r="G803" s="5"/>
      <c r="H803" s="5"/>
      <c r="I803" s="5"/>
      <c r="J803" s="5"/>
      <c r="K803" s="92"/>
      <c r="L803" s="13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129"/>
      <c r="B804" s="5"/>
      <c r="C804" s="5"/>
      <c r="D804" s="5"/>
      <c r="E804" s="5"/>
      <c r="F804" s="5"/>
      <c r="G804" s="5"/>
      <c r="H804" s="5"/>
      <c r="I804" s="5"/>
      <c r="J804" s="5"/>
      <c r="K804" s="92"/>
      <c r="L804" s="13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129"/>
      <c r="B805" s="5"/>
      <c r="C805" s="5"/>
      <c r="D805" s="5"/>
      <c r="E805" s="5"/>
      <c r="F805" s="5"/>
      <c r="G805" s="5"/>
      <c r="H805" s="5"/>
      <c r="I805" s="5"/>
      <c r="J805" s="5"/>
      <c r="K805" s="92"/>
      <c r="L805" s="13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129"/>
      <c r="B806" s="5"/>
      <c r="C806" s="5"/>
      <c r="D806" s="5"/>
      <c r="E806" s="5"/>
      <c r="F806" s="5"/>
      <c r="G806" s="5"/>
      <c r="H806" s="5"/>
      <c r="I806" s="5"/>
      <c r="J806" s="5"/>
      <c r="K806" s="92"/>
      <c r="L806" s="13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129"/>
      <c r="B807" s="5"/>
      <c r="C807" s="5"/>
      <c r="D807" s="5"/>
      <c r="E807" s="5"/>
      <c r="F807" s="5"/>
      <c r="G807" s="5"/>
      <c r="H807" s="5"/>
      <c r="I807" s="5"/>
      <c r="J807" s="5"/>
      <c r="K807" s="92"/>
      <c r="L807" s="13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129"/>
      <c r="B808" s="5"/>
      <c r="C808" s="5"/>
      <c r="D808" s="5"/>
      <c r="E808" s="5"/>
      <c r="F808" s="5"/>
      <c r="G808" s="5"/>
      <c r="H808" s="5"/>
      <c r="I808" s="5"/>
      <c r="J808" s="5"/>
      <c r="K808" s="92"/>
      <c r="L808" s="13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129"/>
      <c r="B809" s="5"/>
      <c r="C809" s="5"/>
      <c r="D809" s="5"/>
      <c r="E809" s="5"/>
      <c r="F809" s="5"/>
      <c r="G809" s="5"/>
      <c r="H809" s="5"/>
      <c r="I809" s="5"/>
      <c r="J809" s="5"/>
      <c r="K809" s="92"/>
      <c r="L809" s="13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129"/>
      <c r="B810" s="5"/>
      <c r="C810" s="5"/>
      <c r="D810" s="5"/>
      <c r="E810" s="5"/>
      <c r="F810" s="5"/>
      <c r="G810" s="5"/>
      <c r="H810" s="5"/>
      <c r="I810" s="5"/>
      <c r="J810" s="5"/>
      <c r="K810" s="92"/>
      <c r="L810" s="13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129"/>
      <c r="B811" s="5"/>
      <c r="C811" s="5"/>
      <c r="D811" s="5"/>
      <c r="E811" s="5"/>
      <c r="F811" s="5"/>
      <c r="G811" s="5"/>
      <c r="H811" s="5"/>
      <c r="I811" s="5"/>
      <c r="J811" s="5"/>
      <c r="K811" s="92"/>
      <c r="L811" s="13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129"/>
      <c r="B812" s="5"/>
      <c r="C812" s="5"/>
      <c r="D812" s="5"/>
      <c r="E812" s="5"/>
      <c r="F812" s="5"/>
      <c r="G812" s="5"/>
      <c r="H812" s="5"/>
      <c r="I812" s="5"/>
      <c r="J812" s="5"/>
      <c r="K812" s="92"/>
      <c r="L812" s="13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129"/>
      <c r="B813" s="5"/>
      <c r="C813" s="5"/>
      <c r="D813" s="5"/>
      <c r="E813" s="5"/>
      <c r="F813" s="5"/>
      <c r="G813" s="5"/>
      <c r="H813" s="5"/>
      <c r="I813" s="5"/>
      <c r="J813" s="5"/>
      <c r="K813" s="92"/>
      <c r="L813" s="13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129"/>
      <c r="B814" s="5"/>
      <c r="C814" s="5"/>
      <c r="D814" s="5"/>
      <c r="E814" s="5"/>
      <c r="F814" s="5"/>
      <c r="G814" s="5"/>
      <c r="H814" s="5"/>
      <c r="I814" s="5"/>
      <c r="J814" s="5"/>
      <c r="K814" s="92"/>
      <c r="L814" s="13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129"/>
      <c r="B815" s="5"/>
      <c r="C815" s="5"/>
      <c r="D815" s="5"/>
      <c r="E815" s="5"/>
      <c r="F815" s="5"/>
      <c r="G815" s="5"/>
      <c r="H815" s="5"/>
      <c r="I815" s="5"/>
      <c r="J815" s="5"/>
      <c r="K815" s="92"/>
      <c r="L815" s="13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129"/>
      <c r="B816" s="5"/>
      <c r="C816" s="5"/>
      <c r="D816" s="5"/>
      <c r="E816" s="5"/>
      <c r="F816" s="5"/>
      <c r="G816" s="5"/>
      <c r="H816" s="5"/>
      <c r="I816" s="5"/>
      <c r="J816" s="5"/>
      <c r="K816" s="92"/>
      <c r="L816" s="13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129"/>
      <c r="B817" s="5"/>
      <c r="C817" s="5"/>
      <c r="D817" s="5"/>
      <c r="E817" s="5"/>
      <c r="F817" s="5"/>
      <c r="G817" s="5"/>
      <c r="H817" s="5"/>
      <c r="I817" s="5"/>
      <c r="J817" s="5"/>
      <c r="K817" s="92"/>
      <c r="L817" s="13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129"/>
      <c r="B818" s="5"/>
      <c r="C818" s="5"/>
      <c r="D818" s="5"/>
      <c r="E818" s="5"/>
      <c r="F818" s="5"/>
      <c r="G818" s="5"/>
      <c r="H818" s="5"/>
      <c r="I818" s="5"/>
      <c r="J818" s="5"/>
      <c r="K818" s="92"/>
      <c r="L818" s="13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129"/>
      <c r="B819" s="5"/>
      <c r="C819" s="5"/>
      <c r="D819" s="5"/>
      <c r="E819" s="5"/>
      <c r="F819" s="5"/>
      <c r="G819" s="5"/>
      <c r="H819" s="5"/>
      <c r="I819" s="5"/>
      <c r="J819" s="5"/>
      <c r="K819" s="92"/>
      <c r="L819" s="13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129"/>
      <c r="B820" s="5"/>
      <c r="C820" s="5"/>
      <c r="D820" s="5"/>
      <c r="E820" s="5"/>
      <c r="F820" s="5"/>
      <c r="G820" s="5"/>
      <c r="H820" s="5"/>
      <c r="I820" s="5"/>
      <c r="J820" s="5"/>
      <c r="K820" s="92"/>
      <c r="L820" s="13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129"/>
      <c r="B821" s="5"/>
      <c r="C821" s="5"/>
      <c r="D821" s="5"/>
      <c r="E821" s="5"/>
      <c r="F821" s="5"/>
      <c r="G821" s="5"/>
      <c r="H821" s="5"/>
      <c r="I821" s="5"/>
      <c r="J821" s="5"/>
      <c r="K821" s="92"/>
      <c r="L821" s="13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129"/>
      <c r="B822" s="5"/>
      <c r="C822" s="5"/>
      <c r="D822" s="5"/>
      <c r="E822" s="5"/>
      <c r="F822" s="5"/>
      <c r="G822" s="5"/>
      <c r="H822" s="5"/>
      <c r="I822" s="5"/>
      <c r="J822" s="5"/>
      <c r="K822" s="92"/>
      <c r="L822" s="13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129"/>
      <c r="B823" s="5"/>
      <c r="C823" s="5"/>
      <c r="D823" s="5"/>
      <c r="E823" s="5"/>
      <c r="F823" s="5"/>
      <c r="G823" s="5"/>
      <c r="H823" s="5"/>
      <c r="I823" s="5"/>
      <c r="J823" s="5"/>
      <c r="K823" s="92"/>
      <c r="L823" s="13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129"/>
      <c r="B824" s="5"/>
      <c r="C824" s="5"/>
      <c r="D824" s="5"/>
      <c r="E824" s="5"/>
      <c r="F824" s="5"/>
      <c r="G824" s="5"/>
      <c r="H824" s="5"/>
      <c r="I824" s="5"/>
      <c r="J824" s="5"/>
      <c r="K824" s="92"/>
      <c r="L824" s="13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129"/>
      <c r="B825" s="5"/>
      <c r="C825" s="5"/>
      <c r="D825" s="5"/>
      <c r="E825" s="5"/>
      <c r="F825" s="5"/>
      <c r="G825" s="5"/>
      <c r="H825" s="5"/>
      <c r="I825" s="5"/>
      <c r="J825" s="5"/>
      <c r="K825" s="92"/>
      <c r="L825" s="13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129"/>
      <c r="B826" s="5"/>
      <c r="C826" s="5"/>
      <c r="D826" s="5"/>
      <c r="E826" s="5"/>
      <c r="F826" s="5"/>
      <c r="G826" s="5"/>
      <c r="H826" s="5"/>
      <c r="I826" s="5"/>
      <c r="J826" s="5"/>
      <c r="K826" s="92"/>
      <c r="L826" s="13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129"/>
      <c r="B827" s="5"/>
      <c r="C827" s="5"/>
      <c r="D827" s="5"/>
      <c r="E827" s="5"/>
      <c r="F827" s="5"/>
      <c r="G827" s="5"/>
      <c r="H827" s="5"/>
      <c r="I827" s="5"/>
      <c r="J827" s="5"/>
      <c r="K827" s="92"/>
      <c r="L827" s="13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129"/>
      <c r="B828" s="5"/>
      <c r="C828" s="5"/>
      <c r="D828" s="5"/>
      <c r="E828" s="5"/>
      <c r="F828" s="5"/>
      <c r="G828" s="5"/>
      <c r="H828" s="5"/>
      <c r="I828" s="5"/>
      <c r="J828" s="5"/>
      <c r="K828" s="92"/>
      <c r="L828" s="13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129"/>
      <c r="B829" s="5"/>
      <c r="C829" s="5"/>
      <c r="D829" s="5"/>
      <c r="E829" s="5"/>
      <c r="F829" s="5"/>
      <c r="G829" s="5"/>
      <c r="H829" s="5"/>
      <c r="I829" s="5"/>
      <c r="J829" s="5"/>
      <c r="K829" s="92"/>
      <c r="L829" s="13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129"/>
      <c r="B830" s="5"/>
      <c r="C830" s="5"/>
      <c r="D830" s="5"/>
      <c r="E830" s="5"/>
      <c r="F830" s="5"/>
      <c r="G830" s="5"/>
      <c r="H830" s="5"/>
      <c r="I830" s="5"/>
      <c r="J830" s="5"/>
      <c r="K830" s="92"/>
      <c r="L830" s="13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129"/>
      <c r="B831" s="5"/>
      <c r="C831" s="5"/>
      <c r="D831" s="5"/>
      <c r="E831" s="5"/>
      <c r="F831" s="5"/>
      <c r="G831" s="5"/>
      <c r="H831" s="5"/>
      <c r="I831" s="5"/>
      <c r="J831" s="5"/>
      <c r="K831" s="92"/>
      <c r="L831" s="13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129"/>
      <c r="B832" s="5"/>
      <c r="C832" s="5"/>
      <c r="D832" s="5"/>
      <c r="E832" s="5"/>
      <c r="F832" s="5"/>
      <c r="G832" s="5"/>
      <c r="H832" s="5"/>
      <c r="I832" s="5"/>
      <c r="J832" s="5"/>
      <c r="K832" s="92"/>
      <c r="L832" s="13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129"/>
      <c r="B833" s="5"/>
      <c r="C833" s="5"/>
      <c r="D833" s="5"/>
      <c r="E833" s="5"/>
      <c r="F833" s="5"/>
      <c r="G833" s="5"/>
      <c r="H833" s="5"/>
      <c r="I833" s="5"/>
      <c r="J833" s="5"/>
      <c r="K833" s="92"/>
      <c r="L833" s="13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129"/>
      <c r="B834" s="5"/>
      <c r="C834" s="5"/>
      <c r="D834" s="5"/>
      <c r="E834" s="5"/>
      <c r="F834" s="5"/>
      <c r="G834" s="5"/>
      <c r="H834" s="5"/>
      <c r="I834" s="5"/>
      <c r="J834" s="5"/>
      <c r="K834" s="92"/>
      <c r="L834" s="13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129"/>
      <c r="B835" s="5"/>
      <c r="C835" s="5"/>
      <c r="D835" s="5"/>
      <c r="E835" s="5"/>
      <c r="F835" s="5"/>
      <c r="G835" s="5"/>
      <c r="H835" s="5"/>
      <c r="I835" s="5"/>
      <c r="J835" s="5"/>
      <c r="K835" s="92"/>
      <c r="L835" s="13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129"/>
      <c r="B836" s="5"/>
      <c r="C836" s="5"/>
      <c r="D836" s="5"/>
      <c r="E836" s="5"/>
      <c r="F836" s="5"/>
      <c r="G836" s="5"/>
      <c r="H836" s="5"/>
      <c r="I836" s="5"/>
      <c r="J836" s="5"/>
      <c r="K836" s="92"/>
      <c r="L836" s="13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129"/>
      <c r="B837" s="5"/>
      <c r="C837" s="5"/>
      <c r="D837" s="5"/>
      <c r="E837" s="5"/>
      <c r="F837" s="5"/>
      <c r="G837" s="5"/>
      <c r="H837" s="5"/>
      <c r="I837" s="5"/>
      <c r="J837" s="5"/>
      <c r="K837" s="92"/>
      <c r="L837" s="13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129"/>
      <c r="B838" s="5"/>
      <c r="C838" s="5"/>
      <c r="D838" s="5"/>
      <c r="E838" s="5"/>
      <c r="F838" s="5"/>
      <c r="G838" s="5"/>
      <c r="H838" s="5"/>
      <c r="I838" s="5"/>
      <c r="J838" s="5"/>
      <c r="K838" s="92"/>
      <c r="L838" s="13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129"/>
      <c r="B839" s="5"/>
      <c r="C839" s="5"/>
      <c r="D839" s="5"/>
      <c r="E839" s="5"/>
      <c r="F839" s="5"/>
      <c r="G839" s="5"/>
      <c r="H839" s="5"/>
      <c r="I839" s="5"/>
      <c r="J839" s="5"/>
      <c r="K839" s="92"/>
      <c r="L839" s="13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129"/>
      <c r="B840" s="5"/>
      <c r="C840" s="5"/>
      <c r="D840" s="5"/>
      <c r="E840" s="5"/>
      <c r="F840" s="5"/>
      <c r="G840" s="5"/>
      <c r="H840" s="5"/>
      <c r="I840" s="5"/>
      <c r="J840" s="5"/>
      <c r="K840" s="92"/>
      <c r="L840" s="13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129"/>
      <c r="B841" s="5"/>
      <c r="C841" s="5"/>
      <c r="D841" s="5"/>
      <c r="E841" s="5"/>
      <c r="F841" s="5"/>
      <c r="G841" s="5"/>
      <c r="H841" s="5"/>
      <c r="I841" s="5"/>
      <c r="J841" s="5"/>
      <c r="K841" s="92"/>
      <c r="L841" s="13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129"/>
      <c r="B842" s="5"/>
      <c r="C842" s="5"/>
      <c r="D842" s="5"/>
      <c r="E842" s="5"/>
      <c r="F842" s="5"/>
      <c r="G842" s="5"/>
      <c r="H842" s="5"/>
      <c r="I842" s="5"/>
      <c r="J842" s="5"/>
      <c r="K842" s="92"/>
      <c r="L842" s="13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129"/>
      <c r="B843" s="5"/>
      <c r="C843" s="5"/>
      <c r="D843" s="5"/>
      <c r="E843" s="5"/>
      <c r="F843" s="5"/>
      <c r="G843" s="5"/>
      <c r="H843" s="5"/>
      <c r="I843" s="5"/>
      <c r="J843" s="5"/>
      <c r="K843" s="92"/>
      <c r="L843" s="13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129"/>
      <c r="B844" s="5"/>
      <c r="C844" s="5"/>
      <c r="D844" s="5"/>
      <c r="E844" s="5"/>
      <c r="F844" s="5"/>
      <c r="G844" s="5"/>
      <c r="H844" s="5"/>
      <c r="I844" s="5"/>
      <c r="J844" s="5"/>
      <c r="K844" s="92"/>
      <c r="L844" s="13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129"/>
      <c r="B845" s="5"/>
      <c r="C845" s="5"/>
      <c r="D845" s="5"/>
      <c r="E845" s="5"/>
      <c r="F845" s="5"/>
      <c r="G845" s="5"/>
      <c r="H845" s="5"/>
      <c r="I845" s="5"/>
      <c r="J845" s="5"/>
      <c r="K845" s="92"/>
      <c r="L845" s="13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129"/>
      <c r="B846" s="5"/>
      <c r="C846" s="5"/>
      <c r="D846" s="5"/>
      <c r="E846" s="5"/>
      <c r="F846" s="5"/>
      <c r="G846" s="5"/>
      <c r="H846" s="5"/>
      <c r="I846" s="5"/>
      <c r="J846" s="5"/>
      <c r="K846" s="92"/>
      <c r="L846" s="13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129"/>
      <c r="B847" s="5"/>
      <c r="C847" s="5"/>
      <c r="D847" s="5"/>
      <c r="E847" s="5"/>
      <c r="F847" s="5"/>
      <c r="G847" s="5"/>
      <c r="H847" s="5"/>
      <c r="I847" s="5"/>
      <c r="J847" s="5"/>
      <c r="K847" s="92"/>
      <c r="L847" s="13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129"/>
      <c r="B848" s="5"/>
      <c r="C848" s="5"/>
      <c r="D848" s="5"/>
      <c r="E848" s="5"/>
      <c r="F848" s="5"/>
      <c r="G848" s="5"/>
      <c r="H848" s="5"/>
      <c r="I848" s="5"/>
      <c r="J848" s="5"/>
      <c r="K848" s="92"/>
      <c r="L848" s="13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129"/>
      <c r="B849" s="5"/>
      <c r="C849" s="5"/>
      <c r="D849" s="5"/>
      <c r="E849" s="5"/>
      <c r="F849" s="5"/>
      <c r="G849" s="5"/>
      <c r="H849" s="5"/>
      <c r="I849" s="5"/>
      <c r="J849" s="5"/>
      <c r="K849" s="92"/>
      <c r="L849" s="13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129"/>
      <c r="B850" s="5"/>
      <c r="C850" s="5"/>
      <c r="D850" s="5"/>
      <c r="E850" s="5"/>
      <c r="F850" s="5"/>
      <c r="G850" s="5"/>
      <c r="H850" s="5"/>
      <c r="I850" s="5"/>
      <c r="J850" s="5"/>
      <c r="K850" s="92"/>
      <c r="L850" s="13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129"/>
      <c r="B851" s="5"/>
      <c r="C851" s="5"/>
      <c r="D851" s="5"/>
      <c r="E851" s="5"/>
      <c r="F851" s="5"/>
      <c r="G851" s="5"/>
      <c r="H851" s="5"/>
      <c r="I851" s="5"/>
      <c r="J851" s="5"/>
      <c r="K851" s="92"/>
      <c r="L851" s="13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129"/>
      <c r="B852" s="5"/>
      <c r="C852" s="5"/>
      <c r="D852" s="5"/>
      <c r="E852" s="5"/>
      <c r="F852" s="5"/>
      <c r="G852" s="5"/>
      <c r="H852" s="5"/>
      <c r="I852" s="5"/>
      <c r="J852" s="5"/>
      <c r="K852" s="92"/>
      <c r="L852" s="13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129"/>
      <c r="B853" s="5"/>
      <c r="C853" s="5"/>
      <c r="D853" s="5"/>
      <c r="E853" s="5"/>
      <c r="F853" s="5"/>
      <c r="G853" s="5"/>
      <c r="H853" s="5"/>
      <c r="I853" s="5"/>
      <c r="J853" s="5"/>
      <c r="K853" s="92"/>
      <c r="L853" s="13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129"/>
      <c r="B854" s="5"/>
      <c r="C854" s="5"/>
      <c r="D854" s="5"/>
      <c r="E854" s="5"/>
      <c r="F854" s="5"/>
      <c r="G854" s="5"/>
      <c r="H854" s="5"/>
      <c r="I854" s="5"/>
      <c r="J854" s="5"/>
      <c r="K854" s="92"/>
      <c r="L854" s="13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129"/>
      <c r="B855" s="5"/>
      <c r="C855" s="5"/>
      <c r="D855" s="5"/>
      <c r="E855" s="5"/>
      <c r="F855" s="5"/>
      <c r="G855" s="5"/>
      <c r="H855" s="5"/>
      <c r="I855" s="5"/>
      <c r="J855" s="5"/>
      <c r="K855" s="92"/>
      <c r="L855" s="13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129"/>
      <c r="B856" s="5"/>
      <c r="C856" s="5"/>
      <c r="D856" s="5"/>
      <c r="E856" s="5"/>
      <c r="F856" s="5"/>
      <c r="G856" s="5"/>
      <c r="H856" s="5"/>
      <c r="I856" s="5"/>
      <c r="J856" s="5"/>
      <c r="K856" s="92"/>
      <c r="L856" s="13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129"/>
      <c r="B857" s="5"/>
      <c r="C857" s="5"/>
      <c r="D857" s="5"/>
      <c r="E857" s="5"/>
      <c r="F857" s="5"/>
      <c r="G857" s="5"/>
      <c r="H857" s="5"/>
      <c r="I857" s="5"/>
      <c r="J857" s="5"/>
      <c r="K857" s="92"/>
      <c r="L857" s="13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129"/>
      <c r="B858" s="5"/>
      <c r="C858" s="5"/>
      <c r="D858" s="5"/>
      <c r="E858" s="5"/>
      <c r="F858" s="5"/>
      <c r="G858" s="5"/>
      <c r="H858" s="5"/>
      <c r="I858" s="5"/>
      <c r="J858" s="5"/>
      <c r="K858" s="92"/>
      <c r="L858" s="13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129"/>
      <c r="B859" s="5"/>
      <c r="C859" s="5"/>
      <c r="D859" s="5"/>
      <c r="E859" s="5"/>
      <c r="F859" s="5"/>
      <c r="G859" s="5"/>
      <c r="H859" s="5"/>
      <c r="I859" s="5"/>
      <c r="J859" s="5"/>
      <c r="K859" s="92"/>
      <c r="L859" s="13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129"/>
      <c r="B860" s="5"/>
      <c r="C860" s="5"/>
      <c r="D860" s="5"/>
      <c r="E860" s="5"/>
      <c r="F860" s="5"/>
      <c r="G860" s="5"/>
      <c r="H860" s="5"/>
      <c r="I860" s="5"/>
      <c r="J860" s="5"/>
      <c r="K860" s="92"/>
      <c r="L860" s="13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129"/>
      <c r="B861" s="5"/>
      <c r="C861" s="5"/>
      <c r="D861" s="5"/>
      <c r="E861" s="5"/>
      <c r="F861" s="5"/>
      <c r="G861" s="5"/>
      <c r="H861" s="5"/>
      <c r="I861" s="5"/>
      <c r="J861" s="5"/>
      <c r="K861" s="92"/>
      <c r="L861" s="13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129"/>
      <c r="B862" s="5"/>
      <c r="C862" s="5"/>
      <c r="D862" s="5"/>
      <c r="E862" s="5"/>
      <c r="F862" s="5"/>
      <c r="G862" s="5"/>
      <c r="H862" s="5"/>
      <c r="I862" s="5"/>
      <c r="J862" s="5"/>
      <c r="K862" s="92"/>
      <c r="L862" s="13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129"/>
      <c r="B863" s="5"/>
      <c r="C863" s="5"/>
      <c r="D863" s="5"/>
      <c r="E863" s="5"/>
      <c r="F863" s="5"/>
      <c r="G863" s="5"/>
      <c r="H863" s="5"/>
      <c r="I863" s="5"/>
      <c r="J863" s="5"/>
      <c r="K863" s="92"/>
      <c r="L863" s="13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129"/>
      <c r="B864" s="5"/>
      <c r="C864" s="5"/>
      <c r="D864" s="5"/>
      <c r="E864" s="5"/>
      <c r="F864" s="5"/>
      <c r="G864" s="5"/>
      <c r="H864" s="5"/>
      <c r="I864" s="5"/>
      <c r="J864" s="5"/>
      <c r="K864" s="92"/>
      <c r="L864" s="13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129"/>
      <c r="B865" s="5"/>
      <c r="C865" s="5"/>
      <c r="D865" s="5"/>
      <c r="E865" s="5"/>
      <c r="F865" s="5"/>
      <c r="G865" s="5"/>
      <c r="H865" s="5"/>
      <c r="I865" s="5"/>
      <c r="J865" s="5"/>
      <c r="K865" s="92"/>
      <c r="L865" s="13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129"/>
      <c r="B866" s="5"/>
      <c r="C866" s="5"/>
      <c r="D866" s="5"/>
      <c r="E866" s="5"/>
      <c r="F866" s="5"/>
      <c r="G866" s="5"/>
      <c r="H866" s="5"/>
      <c r="I866" s="5"/>
      <c r="J866" s="5"/>
      <c r="K866" s="92"/>
      <c r="L866" s="13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129"/>
      <c r="B867" s="5"/>
      <c r="C867" s="5"/>
      <c r="D867" s="5"/>
      <c r="E867" s="5"/>
      <c r="F867" s="5"/>
      <c r="G867" s="5"/>
      <c r="H867" s="5"/>
      <c r="I867" s="5"/>
      <c r="J867" s="5"/>
      <c r="K867" s="92"/>
      <c r="L867" s="13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129"/>
      <c r="B868" s="5"/>
      <c r="C868" s="5"/>
      <c r="D868" s="5"/>
      <c r="E868" s="5"/>
      <c r="F868" s="5"/>
      <c r="G868" s="5"/>
      <c r="H868" s="5"/>
      <c r="I868" s="5"/>
      <c r="J868" s="5"/>
      <c r="K868" s="92"/>
      <c r="L868" s="13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129"/>
      <c r="B869" s="5"/>
      <c r="C869" s="5"/>
      <c r="D869" s="5"/>
      <c r="E869" s="5"/>
      <c r="F869" s="5"/>
      <c r="G869" s="5"/>
      <c r="H869" s="5"/>
      <c r="I869" s="5"/>
      <c r="J869" s="5"/>
      <c r="K869" s="92"/>
      <c r="L869" s="13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129"/>
      <c r="B870" s="5"/>
      <c r="C870" s="5"/>
      <c r="D870" s="5"/>
      <c r="E870" s="5"/>
      <c r="F870" s="5"/>
      <c r="G870" s="5"/>
      <c r="H870" s="5"/>
      <c r="I870" s="5"/>
      <c r="J870" s="5"/>
      <c r="K870" s="92"/>
      <c r="L870" s="13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129"/>
      <c r="B871" s="5"/>
      <c r="C871" s="5"/>
      <c r="D871" s="5"/>
      <c r="E871" s="5"/>
      <c r="F871" s="5"/>
      <c r="G871" s="5"/>
      <c r="H871" s="5"/>
      <c r="I871" s="5"/>
      <c r="J871" s="5"/>
      <c r="K871" s="92"/>
      <c r="L871" s="13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129"/>
      <c r="B872" s="5"/>
      <c r="C872" s="5"/>
      <c r="D872" s="5"/>
      <c r="E872" s="5"/>
      <c r="F872" s="5"/>
      <c r="G872" s="5"/>
      <c r="H872" s="5"/>
      <c r="I872" s="5"/>
      <c r="J872" s="5"/>
      <c r="K872" s="92"/>
      <c r="L872" s="13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129"/>
      <c r="B873" s="5"/>
      <c r="C873" s="5"/>
      <c r="D873" s="5"/>
      <c r="E873" s="5"/>
      <c r="F873" s="5"/>
      <c r="G873" s="5"/>
      <c r="H873" s="5"/>
      <c r="I873" s="5"/>
      <c r="J873" s="5"/>
      <c r="K873" s="92"/>
      <c r="L873" s="13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129"/>
      <c r="B874" s="5"/>
      <c r="C874" s="5"/>
      <c r="D874" s="5"/>
      <c r="E874" s="5"/>
      <c r="F874" s="5"/>
      <c r="G874" s="5"/>
      <c r="H874" s="5"/>
      <c r="I874" s="5"/>
      <c r="J874" s="5"/>
      <c r="K874" s="92"/>
      <c r="L874" s="13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129"/>
      <c r="B875" s="5"/>
      <c r="C875" s="5"/>
      <c r="D875" s="5"/>
      <c r="E875" s="5"/>
      <c r="F875" s="5"/>
      <c r="G875" s="5"/>
      <c r="H875" s="5"/>
      <c r="I875" s="5"/>
      <c r="J875" s="5"/>
      <c r="K875" s="92"/>
      <c r="L875" s="13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129"/>
      <c r="B876" s="5"/>
      <c r="C876" s="5"/>
      <c r="D876" s="5"/>
      <c r="E876" s="5"/>
      <c r="F876" s="5"/>
      <c r="G876" s="5"/>
      <c r="H876" s="5"/>
      <c r="I876" s="5"/>
      <c r="J876" s="5"/>
      <c r="K876" s="92"/>
      <c r="L876" s="13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129"/>
      <c r="B877" s="5"/>
      <c r="C877" s="5"/>
      <c r="D877" s="5"/>
      <c r="E877" s="5"/>
      <c r="F877" s="5"/>
      <c r="G877" s="5"/>
      <c r="H877" s="5"/>
      <c r="I877" s="5"/>
      <c r="J877" s="5"/>
      <c r="K877" s="92"/>
      <c r="L877" s="13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129"/>
      <c r="B878" s="5"/>
      <c r="C878" s="5"/>
      <c r="D878" s="5"/>
      <c r="E878" s="5"/>
      <c r="F878" s="5"/>
      <c r="G878" s="5"/>
      <c r="H878" s="5"/>
      <c r="I878" s="5"/>
      <c r="J878" s="5"/>
      <c r="K878" s="92"/>
      <c r="L878" s="13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129"/>
      <c r="B879" s="5"/>
      <c r="C879" s="5"/>
      <c r="D879" s="5"/>
      <c r="E879" s="5"/>
      <c r="F879" s="5"/>
      <c r="G879" s="5"/>
      <c r="H879" s="5"/>
      <c r="I879" s="5"/>
      <c r="J879" s="5"/>
      <c r="K879" s="92"/>
      <c r="L879" s="13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129"/>
      <c r="B880" s="5"/>
      <c r="C880" s="5"/>
      <c r="D880" s="5"/>
      <c r="E880" s="5"/>
      <c r="F880" s="5"/>
      <c r="G880" s="5"/>
      <c r="H880" s="5"/>
      <c r="I880" s="5"/>
      <c r="J880" s="5"/>
      <c r="K880" s="92"/>
      <c r="L880" s="13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129"/>
      <c r="B881" s="5"/>
      <c r="C881" s="5"/>
      <c r="D881" s="5"/>
      <c r="E881" s="5"/>
      <c r="F881" s="5"/>
      <c r="G881" s="5"/>
      <c r="H881" s="5"/>
      <c r="I881" s="5"/>
      <c r="J881" s="5"/>
      <c r="K881" s="92"/>
      <c r="L881" s="13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129"/>
      <c r="B882" s="5"/>
      <c r="C882" s="5"/>
      <c r="D882" s="5"/>
      <c r="E882" s="5"/>
      <c r="F882" s="5"/>
      <c r="G882" s="5"/>
      <c r="H882" s="5"/>
      <c r="I882" s="5"/>
      <c r="J882" s="5"/>
      <c r="K882" s="92"/>
      <c r="L882" s="13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129"/>
      <c r="B883" s="5"/>
      <c r="C883" s="5"/>
      <c r="D883" s="5"/>
      <c r="E883" s="5"/>
      <c r="F883" s="5"/>
      <c r="G883" s="5"/>
      <c r="H883" s="5"/>
      <c r="I883" s="5"/>
      <c r="J883" s="5"/>
      <c r="K883" s="92"/>
      <c r="L883" s="13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129"/>
      <c r="B884" s="5"/>
      <c r="C884" s="5"/>
      <c r="D884" s="5"/>
      <c r="E884" s="5"/>
      <c r="F884" s="5"/>
      <c r="G884" s="5"/>
      <c r="H884" s="5"/>
      <c r="I884" s="5"/>
      <c r="J884" s="5"/>
      <c r="K884" s="92"/>
      <c r="L884" s="13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129"/>
      <c r="B885" s="5"/>
      <c r="C885" s="5"/>
      <c r="D885" s="5"/>
      <c r="E885" s="5"/>
      <c r="F885" s="5"/>
      <c r="G885" s="5"/>
      <c r="H885" s="5"/>
      <c r="I885" s="5"/>
      <c r="J885" s="5"/>
      <c r="K885" s="92"/>
      <c r="L885" s="13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129"/>
      <c r="B886" s="5"/>
      <c r="C886" s="5"/>
      <c r="D886" s="5"/>
      <c r="E886" s="5"/>
      <c r="F886" s="5"/>
      <c r="G886" s="5"/>
      <c r="H886" s="5"/>
      <c r="I886" s="5"/>
      <c r="J886" s="5"/>
      <c r="K886" s="92"/>
      <c r="L886" s="13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129"/>
      <c r="B887" s="5"/>
      <c r="C887" s="5"/>
      <c r="D887" s="5"/>
      <c r="E887" s="5"/>
      <c r="F887" s="5"/>
      <c r="G887" s="5"/>
      <c r="H887" s="5"/>
      <c r="I887" s="5"/>
      <c r="J887" s="5"/>
      <c r="K887" s="92"/>
      <c r="L887" s="13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129"/>
      <c r="B888" s="5"/>
      <c r="C888" s="5"/>
      <c r="D888" s="5"/>
      <c r="E888" s="5"/>
      <c r="F888" s="5"/>
      <c r="G888" s="5"/>
      <c r="H888" s="5"/>
      <c r="I888" s="5"/>
      <c r="J888" s="5"/>
      <c r="K888" s="92"/>
      <c r="L888" s="13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129"/>
      <c r="B889" s="5"/>
      <c r="C889" s="5"/>
      <c r="D889" s="5"/>
      <c r="E889" s="5"/>
      <c r="F889" s="5"/>
      <c r="G889" s="5"/>
      <c r="H889" s="5"/>
      <c r="I889" s="5"/>
      <c r="J889" s="5"/>
      <c r="K889" s="92"/>
      <c r="L889" s="13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129"/>
      <c r="B890" s="5"/>
      <c r="C890" s="5"/>
      <c r="D890" s="5"/>
      <c r="E890" s="5"/>
      <c r="F890" s="5"/>
      <c r="G890" s="5"/>
      <c r="H890" s="5"/>
      <c r="I890" s="5"/>
      <c r="J890" s="5"/>
      <c r="K890" s="92"/>
      <c r="L890" s="13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129"/>
      <c r="B891" s="5"/>
      <c r="C891" s="5"/>
      <c r="D891" s="5"/>
      <c r="E891" s="5"/>
      <c r="F891" s="5"/>
      <c r="G891" s="5"/>
      <c r="H891" s="5"/>
      <c r="I891" s="5"/>
      <c r="J891" s="5"/>
      <c r="K891" s="92"/>
      <c r="L891" s="13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129"/>
      <c r="B892" s="5"/>
      <c r="C892" s="5"/>
      <c r="D892" s="5"/>
      <c r="E892" s="5"/>
      <c r="F892" s="5"/>
      <c r="G892" s="5"/>
      <c r="H892" s="5"/>
      <c r="I892" s="5"/>
      <c r="J892" s="5"/>
      <c r="K892" s="92"/>
      <c r="L892" s="13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129"/>
      <c r="B893" s="5"/>
      <c r="C893" s="5"/>
      <c r="D893" s="5"/>
      <c r="E893" s="5"/>
      <c r="F893" s="5"/>
      <c r="G893" s="5"/>
      <c r="H893" s="5"/>
      <c r="I893" s="5"/>
      <c r="J893" s="5"/>
      <c r="K893" s="92"/>
      <c r="L893" s="13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129"/>
      <c r="B894" s="5"/>
      <c r="C894" s="5"/>
      <c r="D894" s="5"/>
      <c r="E894" s="5"/>
      <c r="F894" s="5"/>
      <c r="G894" s="5"/>
      <c r="H894" s="5"/>
      <c r="I894" s="5"/>
      <c r="J894" s="5"/>
      <c r="K894" s="92"/>
      <c r="L894" s="13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129"/>
      <c r="B895" s="5"/>
      <c r="C895" s="5"/>
      <c r="D895" s="5"/>
      <c r="E895" s="5"/>
      <c r="F895" s="5"/>
      <c r="G895" s="5"/>
      <c r="H895" s="5"/>
      <c r="I895" s="5"/>
      <c r="J895" s="5"/>
      <c r="K895" s="92"/>
      <c r="L895" s="13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129"/>
      <c r="B896" s="5"/>
      <c r="C896" s="5"/>
      <c r="D896" s="5"/>
      <c r="E896" s="5"/>
      <c r="F896" s="5"/>
      <c r="G896" s="5"/>
      <c r="H896" s="5"/>
      <c r="I896" s="5"/>
      <c r="J896" s="5"/>
      <c r="K896" s="92"/>
      <c r="L896" s="13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129"/>
      <c r="B897" s="5"/>
      <c r="C897" s="5"/>
      <c r="D897" s="5"/>
      <c r="E897" s="5"/>
      <c r="F897" s="5"/>
      <c r="G897" s="5"/>
      <c r="H897" s="5"/>
      <c r="I897" s="5"/>
      <c r="J897" s="5"/>
      <c r="K897" s="92"/>
      <c r="L897" s="13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129"/>
      <c r="B898" s="5"/>
      <c r="C898" s="5"/>
      <c r="D898" s="5"/>
      <c r="E898" s="5"/>
      <c r="F898" s="5"/>
      <c r="G898" s="5"/>
      <c r="H898" s="5"/>
      <c r="I898" s="5"/>
      <c r="J898" s="5"/>
      <c r="K898" s="92"/>
      <c r="L898" s="13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129"/>
      <c r="B899" s="5"/>
      <c r="C899" s="5"/>
      <c r="D899" s="5"/>
      <c r="E899" s="5"/>
      <c r="F899" s="5"/>
      <c r="G899" s="5"/>
      <c r="H899" s="5"/>
      <c r="I899" s="5"/>
      <c r="J899" s="5"/>
      <c r="K899" s="92"/>
      <c r="L899" s="13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129"/>
      <c r="B900" s="5"/>
      <c r="C900" s="5"/>
      <c r="D900" s="5"/>
      <c r="E900" s="5"/>
      <c r="F900" s="5"/>
      <c r="G900" s="5"/>
      <c r="H900" s="5"/>
      <c r="I900" s="5"/>
      <c r="J900" s="5"/>
      <c r="K900" s="92"/>
      <c r="L900" s="13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129"/>
      <c r="B901" s="5"/>
      <c r="C901" s="5"/>
      <c r="D901" s="5"/>
      <c r="E901" s="5"/>
      <c r="F901" s="5"/>
      <c r="G901" s="5"/>
      <c r="H901" s="5"/>
      <c r="I901" s="5"/>
      <c r="J901" s="5"/>
      <c r="K901" s="92"/>
      <c r="L901" s="13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129"/>
      <c r="B902" s="5"/>
      <c r="C902" s="5"/>
      <c r="D902" s="5"/>
      <c r="E902" s="5"/>
      <c r="F902" s="5"/>
      <c r="G902" s="5"/>
      <c r="H902" s="5"/>
      <c r="I902" s="5"/>
      <c r="J902" s="5"/>
      <c r="K902" s="92"/>
      <c r="L902" s="13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129"/>
      <c r="B903" s="5"/>
      <c r="C903" s="5"/>
      <c r="D903" s="5"/>
      <c r="E903" s="5"/>
      <c r="F903" s="5"/>
      <c r="G903" s="5"/>
      <c r="H903" s="5"/>
      <c r="I903" s="5"/>
      <c r="J903" s="5"/>
      <c r="K903" s="92"/>
      <c r="L903" s="13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129"/>
      <c r="B904" s="5"/>
      <c r="C904" s="5"/>
      <c r="D904" s="5"/>
      <c r="E904" s="5"/>
      <c r="F904" s="5"/>
      <c r="G904" s="5"/>
      <c r="H904" s="5"/>
      <c r="I904" s="5"/>
      <c r="J904" s="5"/>
      <c r="K904" s="92"/>
      <c r="L904" s="13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129"/>
      <c r="B905" s="5"/>
      <c r="C905" s="5"/>
      <c r="D905" s="5"/>
      <c r="E905" s="5"/>
      <c r="F905" s="5"/>
      <c r="G905" s="5"/>
      <c r="H905" s="5"/>
      <c r="I905" s="5"/>
      <c r="J905" s="5"/>
      <c r="K905" s="92"/>
      <c r="L905" s="13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129"/>
      <c r="B906" s="5"/>
      <c r="C906" s="5"/>
      <c r="D906" s="5"/>
      <c r="E906" s="5"/>
      <c r="F906" s="5"/>
      <c r="G906" s="5"/>
      <c r="H906" s="5"/>
      <c r="I906" s="5"/>
      <c r="J906" s="5"/>
      <c r="K906" s="92"/>
      <c r="L906" s="13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129"/>
      <c r="B907" s="5"/>
      <c r="C907" s="5"/>
      <c r="D907" s="5"/>
      <c r="E907" s="5"/>
      <c r="F907" s="5"/>
      <c r="G907" s="5"/>
      <c r="H907" s="5"/>
      <c r="I907" s="5"/>
      <c r="J907" s="5"/>
      <c r="K907" s="92"/>
      <c r="L907" s="13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129"/>
      <c r="B908" s="5"/>
      <c r="C908" s="5"/>
      <c r="D908" s="5"/>
      <c r="E908" s="5"/>
      <c r="F908" s="5"/>
      <c r="G908" s="5"/>
      <c r="H908" s="5"/>
      <c r="I908" s="5"/>
      <c r="J908" s="5"/>
      <c r="K908" s="92"/>
      <c r="L908" s="13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129"/>
      <c r="B909" s="5"/>
      <c r="C909" s="5"/>
      <c r="D909" s="5"/>
      <c r="E909" s="5"/>
      <c r="F909" s="5"/>
      <c r="G909" s="5"/>
      <c r="H909" s="5"/>
      <c r="I909" s="5"/>
      <c r="J909" s="5"/>
      <c r="K909" s="92"/>
      <c r="L909" s="13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129"/>
      <c r="B910" s="5"/>
      <c r="C910" s="5"/>
      <c r="D910" s="5"/>
      <c r="E910" s="5"/>
      <c r="F910" s="5"/>
      <c r="G910" s="5"/>
      <c r="H910" s="5"/>
      <c r="I910" s="5"/>
      <c r="J910" s="5"/>
      <c r="K910" s="92"/>
      <c r="L910" s="13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129"/>
      <c r="B911" s="5"/>
      <c r="C911" s="5"/>
      <c r="D911" s="5"/>
      <c r="E911" s="5"/>
      <c r="F911" s="5"/>
      <c r="G911" s="5"/>
      <c r="H911" s="5"/>
      <c r="I911" s="5"/>
      <c r="J911" s="5"/>
      <c r="K911" s="92"/>
      <c r="L911" s="13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129"/>
      <c r="B912" s="5"/>
      <c r="C912" s="5"/>
      <c r="D912" s="5"/>
      <c r="E912" s="5"/>
      <c r="F912" s="5"/>
      <c r="G912" s="5"/>
      <c r="H912" s="5"/>
      <c r="I912" s="5"/>
      <c r="J912" s="5"/>
      <c r="K912" s="92"/>
      <c r="L912" s="13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129"/>
      <c r="B913" s="5"/>
      <c r="C913" s="5"/>
      <c r="D913" s="5"/>
      <c r="E913" s="5"/>
      <c r="F913" s="5"/>
      <c r="G913" s="5"/>
      <c r="H913" s="5"/>
      <c r="I913" s="5"/>
      <c r="J913" s="5"/>
      <c r="K913" s="92"/>
      <c r="L913" s="13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129"/>
      <c r="B914" s="5"/>
      <c r="C914" s="5"/>
      <c r="D914" s="5"/>
      <c r="E914" s="5"/>
      <c r="F914" s="5"/>
      <c r="G914" s="5"/>
      <c r="H914" s="5"/>
      <c r="I914" s="5"/>
      <c r="J914" s="5"/>
      <c r="K914" s="92"/>
      <c r="L914" s="13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129"/>
      <c r="B915" s="5"/>
      <c r="C915" s="5"/>
      <c r="D915" s="5"/>
      <c r="E915" s="5"/>
      <c r="F915" s="5"/>
      <c r="G915" s="5"/>
      <c r="H915" s="5"/>
      <c r="I915" s="5"/>
      <c r="J915" s="5"/>
      <c r="K915" s="92"/>
      <c r="L915" s="13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129"/>
      <c r="B916" s="5"/>
      <c r="C916" s="5"/>
      <c r="D916" s="5"/>
      <c r="E916" s="5"/>
      <c r="F916" s="5"/>
      <c r="G916" s="5"/>
      <c r="H916" s="5"/>
      <c r="I916" s="5"/>
      <c r="J916" s="5"/>
      <c r="K916" s="92"/>
      <c r="L916" s="13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129"/>
      <c r="B917" s="5"/>
      <c r="C917" s="5"/>
      <c r="D917" s="5"/>
      <c r="E917" s="5"/>
      <c r="F917" s="5"/>
      <c r="G917" s="5"/>
      <c r="H917" s="5"/>
      <c r="I917" s="5"/>
      <c r="J917" s="5"/>
      <c r="K917" s="92"/>
      <c r="L917" s="13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129"/>
      <c r="B918" s="5"/>
      <c r="C918" s="5"/>
      <c r="D918" s="5"/>
      <c r="E918" s="5"/>
      <c r="F918" s="5"/>
      <c r="G918" s="5"/>
      <c r="H918" s="5"/>
      <c r="I918" s="5"/>
      <c r="J918" s="5"/>
      <c r="K918" s="92"/>
      <c r="L918" s="13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129"/>
      <c r="B919" s="5"/>
      <c r="C919" s="5"/>
      <c r="D919" s="5"/>
      <c r="E919" s="5"/>
      <c r="F919" s="5"/>
      <c r="G919" s="5"/>
      <c r="H919" s="5"/>
      <c r="I919" s="5"/>
      <c r="J919" s="5"/>
      <c r="K919" s="92"/>
      <c r="L919" s="13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129"/>
      <c r="B920" s="5"/>
      <c r="C920" s="5"/>
      <c r="D920" s="5"/>
      <c r="E920" s="5"/>
      <c r="F920" s="5"/>
      <c r="G920" s="5"/>
      <c r="H920" s="5"/>
      <c r="I920" s="5"/>
      <c r="J920" s="5"/>
      <c r="K920" s="92"/>
      <c r="L920" s="13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129"/>
      <c r="B921" s="5"/>
      <c r="C921" s="5"/>
      <c r="D921" s="5"/>
      <c r="E921" s="5"/>
      <c r="F921" s="5"/>
      <c r="G921" s="5"/>
      <c r="H921" s="5"/>
      <c r="I921" s="5"/>
      <c r="J921" s="5"/>
      <c r="K921" s="92"/>
      <c r="L921" s="13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129"/>
      <c r="B922" s="5"/>
      <c r="C922" s="5"/>
      <c r="D922" s="5"/>
      <c r="E922" s="5"/>
      <c r="F922" s="5"/>
      <c r="G922" s="5"/>
      <c r="H922" s="5"/>
      <c r="I922" s="5"/>
      <c r="J922" s="5"/>
      <c r="K922" s="92"/>
      <c r="L922" s="13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129"/>
      <c r="B923" s="5"/>
      <c r="C923" s="5"/>
      <c r="D923" s="5"/>
      <c r="E923" s="5"/>
      <c r="F923" s="5"/>
      <c r="G923" s="5"/>
      <c r="H923" s="5"/>
      <c r="I923" s="5"/>
      <c r="J923" s="5"/>
      <c r="K923" s="92"/>
      <c r="L923" s="13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129"/>
      <c r="B924" s="5"/>
      <c r="C924" s="5"/>
      <c r="D924" s="5"/>
      <c r="E924" s="5"/>
      <c r="F924" s="5"/>
      <c r="G924" s="5"/>
      <c r="H924" s="5"/>
      <c r="I924" s="5"/>
      <c r="J924" s="5"/>
      <c r="K924" s="92"/>
      <c r="L924" s="13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129"/>
      <c r="B925" s="5"/>
      <c r="C925" s="5"/>
      <c r="D925" s="5"/>
      <c r="E925" s="5"/>
      <c r="F925" s="5"/>
      <c r="G925" s="5"/>
      <c r="H925" s="5"/>
      <c r="I925" s="5"/>
      <c r="J925" s="5"/>
      <c r="K925" s="92"/>
      <c r="L925" s="13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129"/>
      <c r="B926" s="5"/>
      <c r="C926" s="5"/>
      <c r="D926" s="5"/>
      <c r="E926" s="5"/>
      <c r="F926" s="5"/>
      <c r="G926" s="5"/>
      <c r="H926" s="5"/>
      <c r="I926" s="5"/>
      <c r="J926" s="5"/>
      <c r="K926" s="92"/>
      <c r="L926" s="13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129"/>
      <c r="B927" s="5"/>
      <c r="C927" s="5"/>
      <c r="D927" s="5"/>
      <c r="E927" s="5"/>
      <c r="F927" s="5"/>
      <c r="G927" s="5"/>
      <c r="H927" s="5"/>
      <c r="I927" s="5"/>
      <c r="J927" s="5"/>
      <c r="K927" s="92"/>
      <c r="L927" s="13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129"/>
      <c r="B928" s="5"/>
      <c r="C928" s="5"/>
      <c r="D928" s="5"/>
      <c r="E928" s="5"/>
      <c r="F928" s="5"/>
      <c r="G928" s="5"/>
      <c r="H928" s="5"/>
      <c r="I928" s="5"/>
      <c r="J928" s="5"/>
      <c r="K928" s="92"/>
      <c r="L928" s="13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129"/>
      <c r="B929" s="5"/>
      <c r="C929" s="5"/>
      <c r="D929" s="5"/>
      <c r="E929" s="5"/>
      <c r="F929" s="5"/>
      <c r="G929" s="5"/>
      <c r="H929" s="5"/>
      <c r="I929" s="5"/>
      <c r="J929" s="5"/>
      <c r="K929" s="92"/>
      <c r="L929" s="13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129"/>
      <c r="B930" s="5"/>
      <c r="C930" s="5"/>
      <c r="D930" s="5"/>
      <c r="E930" s="5"/>
      <c r="F930" s="5"/>
      <c r="G930" s="5"/>
      <c r="H930" s="5"/>
      <c r="I930" s="5"/>
      <c r="J930" s="5"/>
      <c r="K930" s="92"/>
      <c r="L930" s="13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129"/>
      <c r="B931" s="5"/>
      <c r="C931" s="5"/>
      <c r="D931" s="5"/>
      <c r="E931" s="5"/>
      <c r="F931" s="5"/>
      <c r="G931" s="5"/>
      <c r="H931" s="5"/>
      <c r="I931" s="5"/>
      <c r="J931" s="5"/>
      <c r="K931" s="92"/>
      <c r="L931" s="13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129"/>
      <c r="B932" s="5"/>
      <c r="C932" s="5"/>
      <c r="D932" s="5"/>
      <c r="E932" s="5"/>
      <c r="F932" s="5"/>
      <c r="G932" s="5"/>
      <c r="H932" s="5"/>
      <c r="I932" s="5"/>
      <c r="J932" s="5"/>
      <c r="K932" s="92"/>
      <c r="L932" s="13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129"/>
      <c r="B933" s="5"/>
      <c r="C933" s="5"/>
      <c r="D933" s="5"/>
      <c r="E933" s="5"/>
      <c r="F933" s="5"/>
      <c r="G933" s="5"/>
      <c r="H933" s="5"/>
      <c r="I933" s="5"/>
      <c r="J933" s="5"/>
      <c r="K933" s="92"/>
      <c r="L933" s="13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129"/>
      <c r="B934" s="5"/>
      <c r="C934" s="5"/>
      <c r="D934" s="5"/>
      <c r="E934" s="5"/>
      <c r="F934" s="5"/>
      <c r="G934" s="5"/>
      <c r="H934" s="5"/>
      <c r="I934" s="5"/>
      <c r="J934" s="5"/>
      <c r="K934" s="92"/>
      <c r="L934" s="13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129"/>
      <c r="B935" s="5"/>
      <c r="C935" s="5"/>
      <c r="D935" s="5"/>
      <c r="E935" s="5"/>
      <c r="F935" s="5"/>
      <c r="G935" s="5"/>
      <c r="H935" s="5"/>
      <c r="I935" s="5"/>
      <c r="J935" s="5"/>
      <c r="K935" s="92"/>
      <c r="L935" s="13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129"/>
      <c r="B936" s="5"/>
      <c r="C936" s="5"/>
      <c r="D936" s="5"/>
      <c r="E936" s="5"/>
      <c r="F936" s="5"/>
      <c r="G936" s="5"/>
      <c r="H936" s="5"/>
      <c r="I936" s="5"/>
      <c r="J936" s="5"/>
      <c r="K936" s="92"/>
      <c r="L936" s="13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129"/>
      <c r="B937" s="5"/>
      <c r="C937" s="5"/>
      <c r="D937" s="5"/>
      <c r="E937" s="5"/>
      <c r="F937" s="5"/>
      <c r="G937" s="5"/>
      <c r="H937" s="5"/>
      <c r="I937" s="5"/>
      <c r="J937" s="5"/>
      <c r="K937" s="92"/>
      <c r="L937" s="13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129"/>
      <c r="B938" s="5"/>
      <c r="C938" s="5"/>
      <c r="D938" s="5"/>
      <c r="E938" s="5"/>
      <c r="F938" s="5"/>
      <c r="G938" s="5"/>
      <c r="H938" s="5"/>
      <c r="I938" s="5"/>
      <c r="J938" s="5"/>
      <c r="K938" s="92"/>
      <c r="L938" s="13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129"/>
      <c r="B939" s="5"/>
      <c r="C939" s="5"/>
      <c r="D939" s="5"/>
      <c r="E939" s="5"/>
      <c r="F939" s="5"/>
      <c r="G939" s="5"/>
      <c r="H939" s="5"/>
      <c r="I939" s="5"/>
      <c r="J939" s="5"/>
      <c r="K939" s="92"/>
      <c r="L939" s="13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129"/>
      <c r="B940" s="5"/>
      <c r="C940" s="5"/>
      <c r="D940" s="5"/>
      <c r="E940" s="5"/>
      <c r="F940" s="5"/>
      <c r="G940" s="5"/>
      <c r="H940" s="5"/>
      <c r="I940" s="5"/>
      <c r="J940" s="5"/>
      <c r="K940" s="92"/>
      <c r="L940" s="13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129"/>
      <c r="B941" s="5"/>
      <c r="C941" s="5"/>
      <c r="D941" s="5"/>
      <c r="E941" s="5"/>
      <c r="F941" s="5"/>
      <c r="G941" s="5"/>
      <c r="H941" s="5"/>
      <c r="I941" s="5"/>
      <c r="J941" s="5"/>
      <c r="K941" s="92"/>
      <c r="L941" s="13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129"/>
      <c r="B942" s="5"/>
      <c r="C942" s="5"/>
      <c r="D942" s="5"/>
      <c r="E942" s="5"/>
      <c r="F942" s="5"/>
      <c r="G942" s="5"/>
      <c r="H942" s="5"/>
      <c r="I942" s="5"/>
      <c r="J942" s="5"/>
      <c r="K942" s="92"/>
      <c r="L942" s="13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129"/>
      <c r="B943" s="5"/>
      <c r="C943" s="5"/>
      <c r="D943" s="5"/>
      <c r="E943" s="5"/>
      <c r="F943" s="5"/>
      <c r="G943" s="5"/>
      <c r="H943" s="5"/>
      <c r="I943" s="5"/>
      <c r="J943" s="5"/>
      <c r="K943" s="92"/>
      <c r="L943" s="13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129"/>
      <c r="B944" s="5"/>
      <c r="C944" s="5"/>
      <c r="D944" s="5"/>
      <c r="E944" s="5"/>
      <c r="F944" s="5"/>
      <c r="G944" s="5"/>
      <c r="H944" s="5"/>
      <c r="I944" s="5"/>
      <c r="J944" s="5"/>
      <c r="K944" s="92"/>
      <c r="L944" s="13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129"/>
      <c r="B945" s="5"/>
      <c r="C945" s="5"/>
      <c r="D945" s="5"/>
      <c r="E945" s="5"/>
      <c r="F945" s="5"/>
      <c r="G945" s="5"/>
      <c r="H945" s="5"/>
      <c r="I945" s="5"/>
      <c r="J945" s="5"/>
      <c r="K945" s="92"/>
      <c r="L945" s="13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129"/>
      <c r="B946" s="5"/>
      <c r="C946" s="5"/>
      <c r="D946" s="5"/>
      <c r="E946" s="5"/>
      <c r="F946" s="5"/>
      <c r="G946" s="5"/>
      <c r="H946" s="5"/>
      <c r="I946" s="5"/>
      <c r="J946" s="5"/>
      <c r="K946" s="92"/>
      <c r="L946" s="13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129"/>
      <c r="B947" s="5"/>
      <c r="C947" s="5"/>
      <c r="D947" s="5"/>
      <c r="E947" s="5"/>
      <c r="F947" s="5"/>
      <c r="G947" s="5"/>
      <c r="H947" s="5"/>
      <c r="I947" s="5"/>
      <c r="J947" s="5"/>
      <c r="K947" s="92"/>
      <c r="L947" s="13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129"/>
      <c r="B948" s="5"/>
      <c r="C948" s="5"/>
      <c r="D948" s="5"/>
      <c r="E948" s="5"/>
      <c r="F948" s="5"/>
      <c r="G948" s="5"/>
      <c r="H948" s="5"/>
      <c r="I948" s="5"/>
      <c r="J948" s="5"/>
      <c r="K948" s="92"/>
      <c r="L948" s="13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129"/>
      <c r="B949" s="5"/>
      <c r="C949" s="5"/>
      <c r="D949" s="5"/>
      <c r="E949" s="5"/>
      <c r="F949" s="5"/>
      <c r="G949" s="5"/>
      <c r="H949" s="5"/>
      <c r="I949" s="5"/>
      <c r="J949" s="5"/>
      <c r="K949" s="92"/>
      <c r="L949" s="13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129"/>
      <c r="B950" s="5"/>
      <c r="C950" s="5"/>
      <c r="D950" s="5"/>
      <c r="E950" s="5"/>
      <c r="F950" s="5"/>
      <c r="G950" s="5"/>
      <c r="H950" s="5"/>
      <c r="I950" s="5"/>
      <c r="J950" s="5"/>
      <c r="K950" s="92"/>
      <c r="L950" s="13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129"/>
      <c r="B951" s="5"/>
      <c r="C951" s="5"/>
      <c r="D951" s="5"/>
      <c r="E951" s="5"/>
      <c r="F951" s="5"/>
      <c r="G951" s="5"/>
      <c r="H951" s="5"/>
      <c r="I951" s="5"/>
      <c r="J951" s="5"/>
      <c r="K951" s="92"/>
      <c r="L951" s="13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129"/>
      <c r="B952" s="5"/>
      <c r="C952" s="5"/>
      <c r="D952" s="5"/>
      <c r="E952" s="5"/>
      <c r="F952" s="5"/>
      <c r="G952" s="5"/>
      <c r="H952" s="5"/>
      <c r="I952" s="5"/>
      <c r="J952" s="5"/>
      <c r="K952" s="92"/>
      <c r="L952" s="13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129"/>
      <c r="B953" s="5"/>
      <c r="C953" s="5"/>
      <c r="D953" s="5"/>
      <c r="E953" s="5"/>
      <c r="F953" s="5"/>
      <c r="G953" s="5"/>
      <c r="H953" s="5"/>
      <c r="I953" s="5"/>
      <c r="J953" s="5"/>
      <c r="K953" s="92"/>
      <c r="L953" s="13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129"/>
      <c r="B954" s="5"/>
      <c r="C954" s="5"/>
      <c r="D954" s="5"/>
      <c r="E954" s="5"/>
      <c r="F954" s="5"/>
      <c r="G954" s="5"/>
      <c r="H954" s="5"/>
      <c r="I954" s="5"/>
      <c r="J954" s="5"/>
      <c r="K954" s="92"/>
      <c r="L954" s="13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129"/>
      <c r="B955" s="5"/>
      <c r="C955" s="5"/>
      <c r="D955" s="5"/>
      <c r="E955" s="5"/>
      <c r="F955" s="5"/>
      <c r="G955" s="5"/>
      <c r="H955" s="5"/>
      <c r="I955" s="5"/>
      <c r="J955" s="5"/>
      <c r="K955" s="92"/>
      <c r="L955" s="13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129"/>
      <c r="B956" s="5"/>
      <c r="C956" s="5"/>
      <c r="D956" s="5"/>
      <c r="E956" s="5"/>
      <c r="F956" s="5"/>
      <c r="G956" s="5"/>
      <c r="H956" s="5"/>
      <c r="I956" s="5"/>
      <c r="J956" s="5"/>
      <c r="K956" s="92"/>
      <c r="L956" s="13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129"/>
      <c r="B957" s="5"/>
      <c r="C957" s="5"/>
      <c r="D957" s="5"/>
      <c r="E957" s="5"/>
      <c r="F957" s="5"/>
      <c r="G957" s="5"/>
      <c r="H957" s="5"/>
      <c r="I957" s="5"/>
      <c r="J957" s="5"/>
      <c r="K957" s="92"/>
      <c r="L957" s="13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129"/>
      <c r="B958" s="5"/>
      <c r="C958" s="5"/>
      <c r="D958" s="5"/>
      <c r="E958" s="5"/>
      <c r="F958" s="5"/>
      <c r="G958" s="5"/>
      <c r="H958" s="5"/>
      <c r="I958" s="5"/>
      <c r="J958" s="5"/>
      <c r="K958" s="92"/>
      <c r="L958" s="13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129"/>
      <c r="B959" s="5"/>
      <c r="C959" s="5"/>
      <c r="D959" s="5"/>
      <c r="E959" s="5"/>
      <c r="F959" s="5"/>
      <c r="G959" s="5"/>
      <c r="H959" s="5"/>
      <c r="I959" s="5"/>
      <c r="J959" s="5"/>
      <c r="K959" s="92"/>
      <c r="L959" s="13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129"/>
      <c r="B960" s="5"/>
      <c r="C960" s="5"/>
      <c r="D960" s="5"/>
      <c r="E960" s="5"/>
      <c r="F960" s="5"/>
      <c r="G960" s="5"/>
      <c r="H960" s="5"/>
      <c r="I960" s="5"/>
      <c r="J960" s="5"/>
      <c r="K960" s="92"/>
      <c r="L960" s="13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129"/>
      <c r="B961" s="5"/>
      <c r="C961" s="5"/>
      <c r="D961" s="5"/>
      <c r="E961" s="5"/>
      <c r="F961" s="5"/>
      <c r="G961" s="5"/>
      <c r="H961" s="5"/>
      <c r="I961" s="5"/>
      <c r="J961" s="5"/>
      <c r="K961" s="92"/>
      <c r="L961" s="13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129"/>
      <c r="B962" s="5"/>
      <c r="C962" s="5"/>
      <c r="D962" s="5"/>
      <c r="E962" s="5"/>
      <c r="F962" s="5"/>
      <c r="G962" s="5"/>
      <c r="H962" s="5"/>
      <c r="I962" s="5"/>
      <c r="J962" s="5"/>
      <c r="K962" s="92"/>
      <c r="L962" s="13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129"/>
      <c r="B963" s="5"/>
      <c r="C963" s="5"/>
      <c r="D963" s="5"/>
      <c r="E963" s="5"/>
      <c r="F963" s="5"/>
      <c r="G963" s="5"/>
      <c r="H963" s="5"/>
      <c r="I963" s="5"/>
      <c r="J963" s="5"/>
      <c r="K963" s="92"/>
      <c r="L963" s="13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129"/>
      <c r="B964" s="5"/>
      <c r="C964" s="5"/>
      <c r="D964" s="5"/>
      <c r="E964" s="5"/>
      <c r="F964" s="5"/>
      <c r="G964" s="5"/>
      <c r="H964" s="5"/>
      <c r="I964" s="5"/>
      <c r="J964" s="5"/>
      <c r="K964" s="92"/>
      <c r="L964" s="13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129"/>
      <c r="B965" s="5"/>
      <c r="C965" s="5"/>
      <c r="D965" s="5"/>
      <c r="E965" s="5"/>
      <c r="F965" s="5"/>
      <c r="G965" s="5"/>
      <c r="H965" s="5"/>
      <c r="I965" s="5"/>
      <c r="J965" s="5"/>
      <c r="K965" s="92"/>
      <c r="L965" s="13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129"/>
      <c r="B966" s="5"/>
      <c r="C966" s="5"/>
      <c r="D966" s="5"/>
      <c r="E966" s="5"/>
      <c r="F966" s="5"/>
      <c r="G966" s="5"/>
      <c r="H966" s="5"/>
      <c r="I966" s="5"/>
      <c r="J966" s="5"/>
      <c r="K966" s="92"/>
      <c r="L966" s="13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129"/>
      <c r="B967" s="5"/>
      <c r="C967" s="5"/>
      <c r="D967" s="5"/>
      <c r="E967" s="5"/>
      <c r="F967" s="5"/>
      <c r="G967" s="5"/>
      <c r="H967" s="5"/>
      <c r="I967" s="5"/>
      <c r="J967" s="5"/>
      <c r="K967" s="92"/>
      <c r="L967" s="13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129"/>
      <c r="B968" s="5"/>
      <c r="C968" s="5"/>
      <c r="D968" s="5"/>
      <c r="E968" s="5"/>
      <c r="F968" s="5"/>
      <c r="G968" s="5"/>
      <c r="H968" s="5"/>
      <c r="I968" s="5"/>
      <c r="J968" s="5"/>
      <c r="K968" s="92"/>
      <c r="L968" s="13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129"/>
      <c r="B969" s="5"/>
      <c r="C969" s="5"/>
      <c r="D969" s="5"/>
      <c r="E969" s="5"/>
      <c r="F969" s="5"/>
      <c r="G969" s="5"/>
      <c r="H969" s="5"/>
      <c r="I969" s="5"/>
      <c r="J969" s="5"/>
      <c r="K969" s="92"/>
      <c r="L969" s="13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129"/>
      <c r="B970" s="5"/>
      <c r="C970" s="5"/>
      <c r="D970" s="5"/>
      <c r="E970" s="5"/>
      <c r="F970" s="5"/>
      <c r="G970" s="5"/>
      <c r="H970" s="5"/>
      <c r="I970" s="5"/>
      <c r="J970" s="5"/>
      <c r="K970" s="92"/>
      <c r="L970" s="13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129"/>
      <c r="B971" s="5"/>
      <c r="C971" s="5"/>
      <c r="D971" s="5"/>
      <c r="E971" s="5"/>
      <c r="F971" s="5"/>
      <c r="G971" s="5"/>
      <c r="H971" s="5"/>
      <c r="I971" s="5"/>
      <c r="J971" s="5"/>
      <c r="K971" s="92"/>
      <c r="L971" s="13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129"/>
      <c r="B972" s="5"/>
      <c r="C972" s="5"/>
      <c r="D972" s="5"/>
      <c r="E972" s="5"/>
      <c r="F972" s="5"/>
      <c r="G972" s="5"/>
      <c r="H972" s="5"/>
      <c r="I972" s="5"/>
      <c r="J972" s="5"/>
      <c r="K972" s="92"/>
      <c r="L972" s="13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129"/>
      <c r="B973" s="5"/>
      <c r="C973" s="5"/>
      <c r="D973" s="5"/>
      <c r="E973" s="5"/>
      <c r="F973" s="5"/>
      <c r="G973" s="5"/>
      <c r="H973" s="5"/>
      <c r="I973" s="5"/>
      <c r="J973" s="5"/>
      <c r="K973" s="92"/>
      <c r="L973" s="13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129"/>
      <c r="B974" s="5"/>
      <c r="C974" s="5"/>
      <c r="D974" s="5"/>
      <c r="E974" s="5"/>
      <c r="F974" s="5"/>
      <c r="G974" s="5"/>
      <c r="H974" s="5"/>
      <c r="I974" s="5"/>
      <c r="J974" s="5"/>
      <c r="K974" s="92"/>
      <c r="L974" s="13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129"/>
      <c r="B975" s="5"/>
      <c r="C975" s="5"/>
      <c r="D975" s="5"/>
      <c r="E975" s="5"/>
      <c r="F975" s="5"/>
      <c r="G975" s="5"/>
      <c r="H975" s="5"/>
      <c r="I975" s="5"/>
      <c r="J975" s="5"/>
      <c r="K975" s="92"/>
      <c r="L975" s="13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129"/>
      <c r="B976" s="5"/>
      <c r="C976" s="5"/>
      <c r="D976" s="5"/>
      <c r="E976" s="5"/>
      <c r="F976" s="5"/>
      <c r="G976" s="5"/>
      <c r="H976" s="5"/>
      <c r="I976" s="5"/>
      <c r="J976" s="5"/>
      <c r="K976" s="92"/>
      <c r="L976" s="13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129"/>
      <c r="B977" s="5"/>
      <c r="C977" s="5"/>
      <c r="D977" s="5"/>
      <c r="E977" s="5"/>
      <c r="F977" s="5"/>
      <c r="G977" s="5"/>
      <c r="H977" s="5"/>
      <c r="I977" s="5"/>
      <c r="J977" s="5"/>
      <c r="K977" s="92"/>
      <c r="L977" s="13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129"/>
      <c r="B978" s="5"/>
      <c r="C978" s="5"/>
      <c r="D978" s="5"/>
      <c r="E978" s="5"/>
      <c r="F978" s="5"/>
      <c r="G978" s="5"/>
      <c r="H978" s="5"/>
      <c r="I978" s="5"/>
      <c r="J978" s="5"/>
      <c r="K978" s="92"/>
      <c r="L978" s="13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129"/>
      <c r="B979" s="5"/>
      <c r="C979" s="5"/>
      <c r="D979" s="5"/>
      <c r="E979" s="5"/>
      <c r="F979" s="5"/>
      <c r="G979" s="5"/>
      <c r="H979" s="5"/>
      <c r="I979" s="5"/>
      <c r="J979" s="5"/>
      <c r="K979" s="92"/>
      <c r="L979" s="13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129"/>
      <c r="B980" s="5"/>
      <c r="C980" s="5"/>
      <c r="D980" s="5"/>
      <c r="E980" s="5"/>
      <c r="F980" s="5"/>
      <c r="G980" s="5"/>
      <c r="H980" s="5"/>
      <c r="I980" s="5"/>
      <c r="J980" s="5"/>
      <c r="K980" s="92"/>
      <c r="L980" s="13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129"/>
      <c r="B981" s="5"/>
      <c r="C981" s="5"/>
      <c r="D981" s="5"/>
      <c r="E981" s="5"/>
      <c r="F981" s="5"/>
      <c r="G981" s="5"/>
      <c r="H981" s="5"/>
      <c r="I981" s="5"/>
      <c r="J981" s="5"/>
      <c r="K981" s="92"/>
      <c r="L981" s="13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129"/>
      <c r="B982" s="5"/>
      <c r="C982" s="5"/>
      <c r="D982" s="5"/>
      <c r="E982" s="5"/>
      <c r="F982" s="5"/>
      <c r="G982" s="5"/>
      <c r="H982" s="5"/>
      <c r="I982" s="5"/>
      <c r="J982" s="5"/>
      <c r="K982" s="92"/>
      <c r="L982" s="13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129"/>
      <c r="B983" s="5"/>
      <c r="C983" s="5"/>
      <c r="D983" s="5"/>
      <c r="E983" s="5"/>
      <c r="F983" s="5"/>
      <c r="G983" s="5"/>
      <c r="H983" s="5"/>
      <c r="I983" s="5"/>
      <c r="J983" s="5"/>
      <c r="K983" s="92"/>
      <c r="L983" s="13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129"/>
      <c r="B984" s="5"/>
      <c r="C984" s="5"/>
      <c r="D984" s="5"/>
      <c r="E984" s="5"/>
      <c r="F984" s="5"/>
      <c r="G984" s="5"/>
      <c r="H984" s="5"/>
      <c r="I984" s="5"/>
      <c r="J984" s="5"/>
      <c r="K984" s="92"/>
      <c r="L984" s="13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129"/>
      <c r="B985" s="5"/>
      <c r="C985" s="5"/>
      <c r="D985" s="5"/>
      <c r="E985" s="5"/>
      <c r="F985" s="5"/>
      <c r="G985" s="5"/>
      <c r="H985" s="5"/>
      <c r="I985" s="5"/>
      <c r="J985" s="5"/>
      <c r="K985" s="92"/>
      <c r="L985" s="13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129"/>
      <c r="B986" s="5"/>
      <c r="C986" s="5"/>
      <c r="D986" s="5"/>
      <c r="E986" s="5"/>
      <c r="F986" s="5"/>
      <c r="G986" s="5"/>
      <c r="H986" s="5"/>
      <c r="I986" s="5"/>
      <c r="J986" s="5"/>
      <c r="K986" s="92"/>
      <c r="L986" s="13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129"/>
      <c r="B987" s="5"/>
      <c r="C987" s="5"/>
      <c r="D987" s="5"/>
      <c r="E987" s="5"/>
      <c r="F987" s="5"/>
      <c r="G987" s="5"/>
      <c r="H987" s="5"/>
      <c r="I987" s="5"/>
      <c r="J987" s="5"/>
      <c r="K987" s="92"/>
      <c r="L987" s="13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129"/>
      <c r="B988" s="5"/>
      <c r="C988" s="5"/>
      <c r="D988" s="5"/>
      <c r="E988" s="5"/>
      <c r="F988" s="5"/>
      <c r="G988" s="5"/>
      <c r="H988" s="5"/>
      <c r="I988" s="5"/>
      <c r="J988" s="5"/>
      <c r="K988" s="92"/>
      <c r="L988" s="13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129"/>
      <c r="B989" s="5"/>
      <c r="C989" s="5"/>
      <c r="D989" s="5"/>
      <c r="E989" s="5"/>
      <c r="F989" s="5"/>
      <c r="G989" s="5"/>
      <c r="H989" s="5"/>
      <c r="I989" s="5"/>
      <c r="J989" s="5"/>
      <c r="K989" s="92"/>
      <c r="L989" s="13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129"/>
      <c r="B990" s="5"/>
      <c r="C990" s="5"/>
      <c r="D990" s="5"/>
      <c r="E990" s="5"/>
      <c r="F990" s="5"/>
      <c r="G990" s="5"/>
      <c r="H990" s="5"/>
      <c r="I990" s="5"/>
      <c r="J990" s="5"/>
      <c r="K990" s="92"/>
      <c r="L990" s="13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129"/>
      <c r="B991" s="5"/>
      <c r="C991" s="5"/>
      <c r="D991" s="5"/>
      <c r="E991" s="5"/>
      <c r="F991" s="5"/>
      <c r="G991" s="5"/>
      <c r="H991" s="5"/>
      <c r="I991" s="5"/>
      <c r="J991" s="5"/>
      <c r="K991" s="92"/>
      <c r="L991" s="13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129"/>
      <c r="B992" s="5"/>
      <c r="C992" s="5"/>
      <c r="D992" s="5"/>
      <c r="E992" s="5"/>
      <c r="F992" s="5"/>
      <c r="G992" s="5"/>
      <c r="H992" s="5"/>
      <c r="I992" s="5"/>
      <c r="J992" s="5"/>
      <c r="K992" s="92"/>
      <c r="L992" s="13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129"/>
      <c r="B993" s="5"/>
      <c r="C993" s="5"/>
      <c r="D993" s="5"/>
      <c r="E993" s="5"/>
      <c r="F993" s="5"/>
      <c r="G993" s="5"/>
      <c r="H993" s="5"/>
      <c r="I993" s="5"/>
      <c r="J993" s="5"/>
      <c r="K993" s="92"/>
      <c r="L993" s="13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129"/>
      <c r="B994" s="5"/>
      <c r="C994" s="5"/>
      <c r="D994" s="5"/>
      <c r="E994" s="5"/>
      <c r="F994" s="5"/>
      <c r="G994" s="5"/>
      <c r="H994" s="5"/>
      <c r="I994" s="5"/>
      <c r="J994" s="5"/>
      <c r="K994" s="92"/>
      <c r="L994" s="13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129"/>
      <c r="B995" s="5"/>
      <c r="C995" s="5"/>
      <c r="D995" s="5"/>
      <c r="E995" s="5"/>
      <c r="F995" s="5"/>
      <c r="G995" s="5"/>
      <c r="H995" s="5"/>
      <c r="I995" s="5"/>
      <c r="J995" s="5"/>
      <c r="K995" s="92"/>
      <c r="L995" s="13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129"/>
      <c r="B996" s="5"/>
      <c r="C996" s="5"/>
      <c r="D996" s="5"/>
      <c r="E996" s="5"/>
      <c r="F996" s="5"/>
      <c r="G996" s="5"/>
      <c r="H996" s="5"/>
      <c r="I996" s="5"/>
      <c r="J996" s="5"/>
      <c r="K996" s="92"/>
      <c r="L996" s="13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129"/>
      <c r="B997" s="5"/>
      <c r="C997" s="5"/>
      <c r="D997" s="5"/>
      <c r="E997" s="5"/>
      <c r="F997" s="5"/>
      <c r="G997" s="5"/>
      <c r="H997" s="5"/>
      <c r="I997" s="5"/>
      <c r="J997" s="5"/>
      <c r="K997" s="92"/>
      <c r="L997" s="13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129"/>
      <c r="B998" s="5"/>
      <c r="C998" s="5"/>
      <c r="D998" s="5"/>
      <c r="E998" s="5"/>
      <c r="F998" s="5"/>
      <c r="G998" s="5"/>
      <c r="H998" s="5"/>
      <c r="I998" s="5"/>
      <c r="J998" s="5"/>
      <c r="K998" s="92"/>
      <c r="L998" s="13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129"/>
      <c r="B999" s="5"/>
      <c r="C999" s="5"/>
      <c r="D999" s="5"/>
      <c r="E999" s="5"/>
      <c r="F999" s="5"/>
      <c r="G999" s="5"/>
      <c r="H999" s="5"/>
      <c r="I999" s="5"/>
      <c r="J999" s="5"/>
      <c r="K999" s="92"/>
      <c r="L999" s="13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129"/>
      <c r="B1000" s="5"/>
      <c r="C1000" s="5"/>
      <c r="D1000" s="5"/>
      <c r="E1000" s="5"/>
      <c r="F1000" s="5"/>
      <c r="G1000" s="5"/>
      <c r="H1000" s="5"/>
      <c r="I1000" s="5"/>
      <c r="J1000" s="5"/>
      <c r="K1000" s="92"/>
      <c r="L1000" s="13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>
      <c r="A1001" s="129"/>
      <c r="B1001" s="5"/>
      <c r="C1001" s="5"/>
      <c r="D1001" s="5"/>
      <c r="E1001" s="5"/>
      <c r="F1001" s="5"/>
      <c r="G1001" s="5"/>
      <c r="H1001" s="5"/>
      <c r="I1001" s="5"/>
      <c r="J1001" s="5"/>
      <c r="K1001" s="92"/>
      <c r="L1001" s="13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>
      <c r="A1002" s="129"/>
      <c r="B1002" s="5"/>
      <c r="C1002" s="5"/>
      <c r="D1002" s="5"/>
      <c r="E1002" s="5"/>
      <c r="F1002" s="5"/>
      <c r="G1002" s="5"/>
      <c r="H1002" s="5"/>
      <c r="I1002" s="5"/>
      <c r="J1002" s="5"/>
      <c r="K1002" s="92"/>
      <c r="L1002" s="13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  <row r="1003">
      <c r="A1003" s="129"/>
      <c r="B1003" s="5"/>
      <c r="C1003" s="5"/>
      <c r="D1003" s="5"/>
      <c r="E1003" s="5"/>
      <c r="F1003" s="5"/>
      <c r="G1003" s="5"/>
      <c r="H1003" s="5"/>
      <c r="I1003" s="5"/>
      <c r="J1003" s="5"/>
      <c r="K1003" s="92"/>
      <c r="L1003" s="13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</row>
    <row r="1004">
      <c r="A1004" s="129"/>
      <c r="B1004" s="5"/>
      <c r="C1004" s="5"/>
      <c r="D1004" s="5"/>
      <c r="E1004" s="5"/>
      <c r="F1004" s="5"/>
      <c r="G1004" s="5"/>
      <c r="H1004" s="5"/>
      <c r="I1004" s="5"/>
      <c r="J1004" s="5"/>
      <c r="K1004" s="92"/>
      <c r="L1004" s="13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</row>
    <row r="1005">
      <c r="A1005" s="129"/>
      <c r="B1005" s="5"/>
      <c r="C1005" s="5"/>
      <c r="D1005" s="5"/>
      <c r="E1005" s="5"/>
      <c r="F1005" s="5"/>
      <c r="G1005" s="5"/>
      <c r="H1005" s="5"/>
      <c r="I1005" s="5"/>
      <c r="J1005" s="5"/>
      <c r="K1005" s="92"/>
      <c r="L1005" s="13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</row>
    <row r="1006">
      <c r="A1006" s="129"/>
      <c r="B1006" s="5"/>
      <c r="C1006" s="5"/>
      <c r="D1006" s="5"/>
      <c r="E1006" s="5"/>
      <c r="F1006" s="5"/>
      <c r="G1006" s="5"/>
      <c r="H1006" s="5"/>
      <c r="I1006" s="5"/>
      <c r="J1006" s="5"/>
      <c r="K1006" s="92"/>
      <c r="L1006" s="13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</row>
    <row r="1007">
      <c r="A1007" s="129"/>
      <c r="B1007" s="5"/>
      <c r="C1007" s="5"/>
      <c r="D1007" s="5"/>
      <c r="E1007" s="5"/>
      <c r="F1007" s="5"/>
      <c r="G1007" s="5"/>
      <c r="H1007" s="5"/>
      <c r="I1007" s="5"/>
      <c r="J1007" s="5"/>
      <c r="K1007" s="92"/>
      <c r="L1007" s="13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</row>
    <row r="1008">
      <c r="A1008" s="129"/>
      <c r="B1008" s="5"/>
      <c r="C1008" s="5"/>
      <c r="D1008" s="5"/>
      <c r="E1008" s="5"/>
      <c r="F1008" s="5"/>
      <c r="G1008" s="5"/>
      <c r="H1008" s="5"/>
      <c r="I1008" s="5"/>
      <c r="J1008" s="5"/>
      <c r="K1008" s="92"/>
      <c r="L1008" s="13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</row>
    <row r="1009">
      <c r="A1009" s="129"/>
      <c r="B1009" s="5"/>
      <c r="C1009" s="5"/>
      <c r="D1009" s="5"/>
      <c r="E1009" s="5"/>
      <c r="F1009" s="5"/>
      <c r="G1009" s="5"/>
      <c r="H1009" s="5"/>
      <c r="I1009" s="5"/>
      <c r="J1009" s="5"/>
      <c r="K1009" s="92"/>
      <c r="L1009" s="13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</row>
    <row r="1010">
      <c r="A1010" s="129"/>
      <c r="B1010" s="5"/>
      <c r="C1010" s="5"/>
      <c r="D1010" s="5"/>
      <c r="E1010" s="5"/>
      <c r="F1010" s="5"/>
      <c r="G1010" s="5"/>
      <c r="H1010" s="5"/>
      <c r="I1010" s="5"/>
      <c r="J1010" s="5"/>
      <c r="K1010" s="92"/>
      <c r="L1010" s="13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</row>
    <row r="1011">
      <c r="A1011" s="129"/>
      <c r="B1011" s="5"/>
      <c r="C1011" s="5"/>
      <c r="D1011" s="5"/>
      <c r="E1011" s="5"/>
      <c r="F1011" s="5"/>
      <c r="G1011" s="5"/>
      <c r="H1011" s="5"/>
      <c r="I1011" s="5"/>
      <c r="J1011" s="5"/>
      <c r="K1011" s="92"/>
      <c r="L1011" s="13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</row>
    <row r="1012">
      <c r="A1012" s="129"/>
      <c r="B1012" s="5"/>
      <c r="C1012" s="5"/>
      <c r="D1012" s="5"/>
      <c r="E1012" s="5"/>
      <c r="F1012" s="5"/>
      <c r="G1012" s="5"/>
      <c r="H1012" s="5"/>
      <c r="I1012" s="5"/>
      <c r="J1012" s="5"/>
      <c r="K1012" s="92"/>
      <c r="L1012" s="13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</row>
    <row r="1013">
      <c r="A1013" s="129"/>
      <c r="B1013" s="5"/>
      <c r="C1013" s="5"/>
      <c r="D1013" s="5"/>
      <c r="E1013" s="5"/>
      <c r="F1013" s="5"/>
      <c r="G1013" s="5"/>
      <c r="H1013" s="5"/>
      <c r="I1013" s="5"/>
      <c r="J1013" s="5"/>
      <c r="K1013" s="92"/>
      <c r="L1013" s="13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</row>
    <row r="1014">
      <c r="A1014" s="129"/>
      <c r="B1014" s="5"/>
      <c r="C1014" s="5"/>
      <c r="D1014" s="5"/>
      <c r="E1014" s="5"/>
      <c r="F1014" s="5"/>
      <c r="G1014" s="5"/>
      <c r="H1014" s="5"/>
      <c r="I1014" s="5"/>
      <c r="J1014" s="5"/>
      <c r="K1014" s="92"/>
      <c r="L1014" s="13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</row>
    <row r="1015">
      <c r="A1015" s="129"/>
      <c r="B1015" s="5"/>
      <c r="C1015" s="5"/>
      <c r="D1015" s="5"/>
      <c r="E1015" s="5"/>
      <c r="F1015" s="5"/>
      <c r="G1015" s="5"/>
      <c r="H1015" s="5"/>
      <c r="I1015" s="5"/>
      <c r="J1015" s="5"/>
      <c r="K1015" s="92"/>
      <c r="L1015" s="13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</row>
    <row r="1016">
      <c r="A1016" s="129"/>
      <c r="B1016" s="5"/>
      <c r="C1016" s="5"/>
      <c r="D1016" s="5"/>
      <c r="E1016" s="5"/>
      <c r="F1016" s="5"/>
      <c r="G1016" s="5"/>
      <c r="H1016" s="5"/>
      <c r="I1016" s="5"/>
      <c r="J1016" s="5"/>
      <c r="K1016" s="92"/>
      <c r="L1016" s="13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</row>
    <row r="1017">
      <c r="A1017" s="129"/>
      <c r="B1017" s="5"/>
      <c r="C1017" s="5"/>
      <c r="D1017" s="5"/>
      <c r="E1017" s="5"/>
      <c r="F1017" s="5"/>
      <c r="G1017" s="5"/>
      <c r="H1017" s="5"/>
      <c r="I1017" s="5"/>
      <c r="J1017" s="5"/>
      <c r="K1017" s="92"/>
      <c r="L1017" s="13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</row>
    <row r="1018">
      <c r="A1018" s="129"/>
      <c r="B1018" s="5"/>
      <c r="C1018" s="5"/>
      <c r="D1018" s="5"/>
      <c r="E1018" s="5"/>
      <c r="F1018" s="5"/>
      <c r="G1018" s="5"/>
      <c r="H1018" s="5"/>
      <c r="I1018" s="5"/>
      <c r="J1018" s="5"/>
      <c r="K1018" s="92"/>
      <c r="L1018" s="13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</row>
    <row r="1019">
      <c r="A1019" s="129"/>
      <c r="B1019" s="5"/>
      <c r="C1019" s="5"/>
      <c r="D1019" s="5"/>
      <c r="E1019" s="5"/>
      <c r="F1019" s="5"/>
      <c r="G1019" s="5"/>
      <c r="H1019" s="5"/>
      <c r="I1019" s="5"/>
      <c r="J1019" s="5"/>
      <c r="K1019" s="92"/>
      <c r="L1019" s="13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</row>
    <row r="1020">
      <c r="A1020" s="129"/>
      <c r="B1020" s="5"/>
      <c r="C1020" s="5"/>
      <c r="D1020" s="5"/>
      <c r="E1020" s="5"/>
      <c r="F1020" s="5"/>
      <c r="G1020" s="5"/>
      <c r="H1020" s="5"/>
      <c r="I1020" s="5"/>
      <c r="J1020" s="5"/>
      <c r="K1020" s="92"/>
      <c r="L1020" s="13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</row>
    <row r="1021">
      <c r="A1021" s="129"/>
      <c r="B1021" s="5"/>
      <c r="C1021" s="5"/>
      <c r="D1021" s="5"/>
      <c r="E1021" s="5"/>
      <c r="F1021" s="5"/>
      <c r="G1021" s="5"/>
      <c r="H1021" s="5"/>
      <c r="I1021" s="5"/>
      <c r="J1021" s="5"/>
      <c r="K1021" s="92"/>
      <c r="L1021" s="13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</row>
    <row r="1022">
      <c r="A1022" s="129"/>
      <c r="B1022" s="5"/>
      <c r="C1022" s="5"/>
      <c r="D1022" s="5"/>
      <c r="E1022" s="5"/>
      <c r="F1022" s="5"/>
      <c r="G1022" s="5"/>
      <c r="H1022" s="5"/>
      <c r="I1022" s="5"/>
      <c r="J1022" s="5"/>
      <c r="K1022" s="92"/>
      <c r="L1022" s="13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</row>
    <row r="1023">
      <c r="A1023" s="129"/>
      <c r="B1023" s="5"/>
      <c r="C1023" s="5"/>
      <c r="D1023" s="5"/>
      <c r="E1023" s="5"/>
      <c r="F1023" s="5"/>
      <c r="G1023" s="5"/>
      <c r="H1023" s="5"/>
      <c r="I1023" s="5"/>
      <c r="J1023" s="5"/>
      <c r="K1023" s="92"/>
      <c r="L1023" s="13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</row>
    <row r="1024">
      <c r="A1024" s="129"/>
      <c r="B1024" s="5"/>
      <c r="C1024" s="5"/>
      <c r="D1024" s="5"/>
      <c r="E1024" s="5"/>
      <c r="F1024" s="5"/>
      <c r="G1024" s="5"/>
      <c r="H1024" s="5"/>
      <c r="I1024" s="5"/>
      <c r="J1024" s="5"/>
      <c r="K1024" s="92"/>
      <c r="L1024" s="13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</row>
    <row r="1025">
      <c r="A1025" s="129"/>
      <c r="B1025" s="5"/>
      <c r="C1025" s="5"/>
      <c r="D1025" s="5"/>
      <c r="E1025" s="5"/>
      <c r="F1025" s="5"/>
      <c r="G1025" s="5"/>
      <c r="H1025" s="5"/>
      <c r="I1025" s="5"/>
      <c r="J1025" s="5"/>
      <c r="K1025" s="92"/>
      <c r="L1025" s="13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</row>
    <row r="1026">
      <c r="A1026" s="129"/>
      <c r="B1026" s="5"/>
      <c r="C1026" s="5"/>
      <c r="D1026" s="5"/>
      <c r="E1026" s="5"/>
      <c r="F1026" s="5"/>
      <c r="G1026" s="5"/>
      <c r="H1026" s="5"/>
      <c r="I1026" s="5"/>
      <c r="J1026" s="5"/>
      <c r="K1026" s="92"/>
      <c r="L1026" s="13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</row>
    <row r="1027">
      <c r="A1027" s="129"/>
      <c r="B1027" s="5"/>
      <c r="C1027" s="5"/>
      <c r="D1027" s="5"/>
      <c r="E1027" s="5"/>
      <c r="F1027" s="5"/>
      <c r="G1027" s="5"/>
      <c r="H1027" s="5"/>
      <c r="I1027" s="5"/>
      <c r="J1027" s="5"/>
      <c r="K1027" s="92"/>
      <c r="L1027" s="13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</row>
    <row r="1028">
      <c r="A1028" s="129"/>
      <c r="B1028" s="5"/>
      <c r="C1028" s="5"/>
      <c r="D1028" s="5"/>
      <c r="E1028" s="5"/>
      <c r="F1028" s="5"/>
      <c r="G1028" s="5"/>
      <c r="H1028" s="5"/>
      <c r="I1028" s="5"/>
      <c r="J1028" s="5"/>
      <c r="K1028" s="92"/>
      <c r="L1028" s="13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</row>
    <row r="1029">
      <c r="A1029" s="129"/>
      <c r="B1029" s="5"/>
      <c r="C1029" s="5"/>
      <c r="D1029" s="5"/>
      <c r="E1029" s="5"/>
      <c r="F1029" s="5"/>
      <c r="G1029" s="5"/>
      <c r="H1029" s="5"/>
      <c r="I1029" s="5"/>
      <c r="J1029" s="5"/>
      <c r="K1029" s="92"/>
      <c r="L1029" s="13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</row>
    <row r="1030">
      <c r="A1030" s="129"/>
      <c r="B1030" s="5"/>
      <c r="C1030" s="5"/>
      <c r="D1030" s="5"/>
      <c r="E1030" s="5"/>
      <c r="F1030" s="5"/>
      <c r="G1030" s="5"/>
      <c r="H1030" s="5"/>
      <c r="I1030" s="5"/>
      <c r="J1030" s="5"/>
      <c r="K1030" s="92"/>
      <c r="L1030" s="13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</row>
    <row r="1031">
      <c r="A1031" s="129"/>
      <c r="B1031" s="5"/>
      <c r="C1031" s="5"/>
      <c r="D1031" s="5"/>
      <c r="E1031" s="5"/>
      <c r="F1031" s="5"/>
      <c r="G1031" s="5"/>
      <c r="H1031" s="5"/>
      <c r="I1031" s="5"/>
      <c r="J1031" s="5"/>
      <c r="K1031" s="92"/>
      <c r="L1031" s="13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</row>
    <row r="1032">
      <c r="A1032" s="129"/>
      <c r="B1032" s="5"/>
      <c r="C1032" s="5"/>
      <c r="D1032" s="5"/>
      <c r="E1032" s="5"/>
      <c r="F1032" s="5"/>
      <c r="G1032" s="5"/>
      <c r="H1032" s="5"/>
      <c r="I1032" s="5"/>
      <c r="J1032" s="5"/>
      <c r="K1032" s="92"/>
      <c r="L1032" s="13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</row>
    <row r="1033">
      <c r="A1033" s="129"/>
      <c r="B1033" s="5"/>
      <c r="C1033" s="5"/>
      <c r="D1033" s="5"/>
      <c r="E1033" s="5"/>
      <c r="F1033" s="5"/>
      <c r="G1033" s="5"/>
      <c r="H1033" s="5"/>
      <c r="I1033" s="5"/>
      <c r="J1033" s="5"/>
      <c r="K1033" s="92"/>
      <c r="L1033" s="13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</row>
    <row r="1034">
      <c r="A1034" s="129"/>
      <c r="B1034" s="5"/>
      <c r="C1034" s="5"/>
      <c r="D1034" s="5"/>
      <c r="E1034" s="5"/>
      <c r="F1034" s="5"/>
      <c r="G1034" s="5"/>
      <c r="H1034" s="5"/>
      <c r="I1034" s="5"/>
      <c r="J1034" s="5"/>
      <c r="K1034" s="92"/>
      <c r="L1034" s="13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</row>
    <row r="1035">
      <c r="A1035" s="129"/>
      <c r="B1035" s="5"/>
      <c r="C1035" s="5"/>
      <c r="D1035" s="5"/>
      <c r="E1035" s="5"/>
      <c r="F1035" s="5"/>
      <c r="G1035" s="5"/>
      <c r="H1035" s="5"/>
      <c r="I1035" s="5"/>
      <c r="J1035" s="5"/>
      <c r="K1035" s="92"/>
      <c r="L1035" s="13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</row>
    <row r="1036">
      <c r="A1036" s="129"/>
      <c r="B1036" s="5"/>
      <c r="C1036" s="5"/>
      <c r="D1036" s="5"/>
      <c r="E1036" s="5"/>
      <c r="F1036" s="5"/>
      <c r="G1036" s="5"/>
      <c r="H1036" s="5"/>
      <c r="I1036" s="5"/>
      <c r="J1036" s="5"/>
      <c r="K1036" s="92"/>
      <c r="L1036" s="13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</row>
    <row r="1037">
      <c r="A1037" s="129"/>
      <c r="B1037" s="5"/>
      <c r="C1037" s="5"/>
      <c r="D1037" s="5"/>
      <c r="E1037" s="5"/>
      <c r="F1037" s="5"/>
      <c r="G1037" s="5"/>
      <c r="H1037" s="5"/>
      <c r="I1037" s="5"/>
      <c r="J1037" s="5"/>
      <c r="K1037" s="92"/>
      <c r="L1037" s="13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</row>
    <row r="1038">
      <c r="A1038" s="129"/>
      <c r="B1038" s="5"/>
      <c r="C1038" s="5"/>
      <c r="D1038" s="5"/>
      <c r="E1038" s="5"/>
      <c r="F1038" s="5"/>
      <c r="G1038" s="5"/>
      <c r="H1038" s="5"/>
      <c r="I1038" s="5"/>
      <c r="J1038" s="5"/>
      <c r="K1038" s="92"/>
      <c r="L1038" s="13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</row>
    <row r="1039">
      <c r="A1039" s="129"/>
      <c r="B1039" s="5"/>
      <c r="C1039" s="5"/>
      <c r="D1039" s="5"/>
      <c r="E1039" s="5"/>
      <c r="F1039" s="5"/>
      <c r="G1039" s="5"/>
      <c r="H1039" s="5"/>
      <c r="I1039" s="5"/>
      <c r="J1039" s="5"/>
      <c r="K1039" s="92"/>
      <c r="L1039" s="13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</row>
    <row r="1040">
      <c r="A1040" s="129"/>
      <c r="B1040" s="5"/>
      <c r="C1040" s="5"/>
      <c r="D1040" s="5"/>
      <c r="E1040" s="5"/>
      <c r="F1040" s="5"/>
      <c r="G1040" s="5"/>
      <c r="H1040" s="5"/>
      <c r="I1040" s="5"/>
      <c r="J1040" s="5"/>
      <c r="K1040" s="92"/>
      <c r="L1040" s="13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</row>
    <row r="1041">
      <c r="A1041" s="129"/>
      <c r="B1041" s="5"/>
      <c r="C1041" s="5"/>
      <c r="D1041" s="5"/>
      <c r="E1041" s="5"/>
      <c r="F1041" s="5"/>
      <c r="G1041" s="5"/>
      <c r="H1041" s="5"/>
      <c r="I1041" s="5"/>
      <c r="J1041" s="5"/>
      <c r="K1041" s="92"/>
      <c r="L1041" s="13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</row>
    <row r="1042">
      <c r="A1042" s="129"/>
      <c r="B1042" s="5"/>
      <c r="C1042" s="5"/>
      <c r="D1042" s="5"/>
      <c r="E1042" s="5"/>
      <c r="F1042" s="5"/>
      <c r="G1042" s="5"/>
      <c r="H1042" s="5"/>
      <c r="I1042" s="5"/>
      <c r="J1042" s="5"/>
      <c r="K1042" s="92"/>
      <c r="L1042" s="13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</row>
    <row r="1043">
      <c r="A1043" s="129"/>
      <c r="B1043" s="5"/>
      <c r="C1043" s="5"/>
      <c r="D1043" s="5"/>
      <c r="E1043" s="5"/>
      <c r="F1043" s="5"/>
      <c r="G1043" s="5"/>
      <c r="H1043" s="5"/>
      <c r="I1043" s="5"/>
      <c r="J1043" s="5"/>
      <c r="K1043" s="92"/>
      <c r="L1043" s="13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</row>
    <row r="1044">
      <c r="A1044" s="129"/>
      <c r="B1044" s="5"/>
      <c r="C1044" s="5"/>
      <c r="D1044" s="5"/>
      <c r="E1044" s="5"/>
      <c r="F1044" s="5"/>
      <c r="G1044" s="5"/>
      <c r="H1044" s="5"/>
      <c r="I1044" s="5"/>
      <c r="J1044" s="5"/>
      <c r="K1044" s="92"/>
      <c r="L1044" s="13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</row>
    <row r="1045">
      <c r="A1045" s="129"/>
      <c r="B1045" s="5"/>
      <c r="C1045" s="5"/>
      <c r="D1045" s="5"/>
      <c r="E1045" s="5"/>
      <c r="F1045" s="5"/>
      <c r="G1045" s="5"/>
      <c r="H1045" s="5"/>
      <c r="I1045" s="5"/>
      <c r="J1045" s="5"/>
      <c r="K1045" s="92"/>
      <c r="L1045" s="13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</row>
    <row r="1046">
      <c r="A1046" s="129"/>
      <c r="B1046" s="5"/>
      <c r="C1046" s="5"/>
      <c r="D1046" s="5"/>
      <c r="E1046" s="5"/>
      <c r="F1046" s="5"/>
      <c r="G1046" s="5"/>
      <c r="H1046" s="5"/>
      <c r="I1046" s="5"/>
      <c r="J1046" s="5"/>
      <c r="K1046" s="92"/>
      <c r="L1046" s="13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</row>
    <row r="1047">
      <c r="A1047" s="129"/>
      <c r="B1047" s="5"/>
      <c r="C1047" s="5"/>
      <c r="D1047" s="5"/>
      <c r="E1047" s="5"/>
      <c r="F1047" s="5"/>
      <c r="G1047" s="5"/>
      <c r="H1047" s="5"/>
      <c r="I1047" s="5"/>
      <c r="J1047" s="5"/>
      <c r="K1047" s="92"/>
      <c r="L1047" s="13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</row>
    <row r="1048">
      <c r="A1048" s="129"/>
      <c r="B1048" s="5"/>
      <c r="C1048" s="5"/>
      <c r="D1048" s="5"/>
      <c r="E1048" s="5"/>
      <c r="F1048" s="5"/>
      <c r="G1048" s="5"/>
      <c r="H1048" s="5"/>
      <c r="I1048" s="5"/>
      <c r="J1048" s="5"/>
      <c r="K1048" s="92"/>
      <c r="L1048" s="13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</row>
    <row r="1049">
      <c r="A1049" s="129"/>
      <c r="B1049" s="5"/>
      <c r="C1049" s="5"/>
      <c r="D1049" s="5"/>
      <c r="E1049" s="5"/>
      <c r="F1049" s="5"/>
      <c r="G1049" s="5"/>
      <c r="H1049" s="5"/>
      <c r="I1049" s="5"/>
      <c r="J1049" s="5"/>
      <c r="K1049" s="92"/>
      <c r="L1049" s="13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</row>
    <row r="1050">
      <c r="A1050" s="129"/>
      <c r="B1050" s="5"/>
      <c r="C1050" s="5"/>
      <c r="D1050" s="5"/>
      <c r="E1050" s="5"/>
      <c r="F1050" s="5"/>
      <c r="G1050" s="5"/>
      <c r="H1050" s="5"/>
      <c r="I1050" s="5"/>
      <c r="J1050" s="5"/>
      <c r="K1050" s="92"/>
      <c r="L1050" s="13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</row>
    <row r="1051">
      <c r="A1051" s="129"/>
      <c r="B1051" s="5"/>
      <c r="C1051" s="5"/>
      <c r="D1051" s="5"/>
      <c r="E1051" s="5"/>
      <c r="F1051" s="5"/>
      <c r="G1051" s="5"/>
      <c r="H1051" s="5"/>
      <c r="I1051" s="5"/>
      <c r="J1051" s="5"/>
      <c r="K1051" s="92"/>
      <c r="L1051" s="13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</row>
    <row r="1052">
      <c r="A1052" s="129"/>
      <c r="B1052" s="5"/>
      <c r="C1052" s="5"/>
      <c r="D1052" s="5"/>
      <c r="E1052" s="5"/>
      <c r="F1052" s="5"/>
      <c r="G1052" s="5"/>
      <c r="H1052" s="5"/>
      <c r="I1052" s="5"/>
      <c r="J1052" s="5"/>
      <c r="K1052" s="92"/>
      <c r="L1052" s="13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</row>
    <row r="1053">
      <c r="A1053" s="129"/>
      <c r="B1053" s="5"/>
      <c r="C1053" s="5"/>
      <c r="D1053" s="5"/>
      <c r="E1053" s="5"/>
      <c r="F1053" s="5"/>
      <c r="G1053" s="5"/>
      <c r="H1053" s="5"/>
      <c r="I1053" s="5"/>
      <c r="J1053" s="5"/>
      <c r="K1053" s="92"/>
      <c r="L1053" s="13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</row>
    <row r="1054">
      <c r="A1054" s="129"/>
      <c r="B1054" s="5"/>
      <c r="C1054" s="5"/>
      <c r="D1054" s="5"/>
      <c r="E1054" s="5"/>
      <c r="F1054" s="5"/>
      <c r="G1054" s="5"/>
      <c r="H1054" s="5"/>
      <c r="I1054" s="5"/>
      <c r="J1054" s="5"/>
      <c r="K1054" s="92"/>
      <c r="L1054" s="13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</row>
    <row r="1055">
      <c r="A1055" s="129"/>
      <c r="B1055" s="5"/>
      <c r="C1055" s="5"/>
      <c r="D1055" s="5"/>
      <c r="E1055" s="5"/>
      <c r="F1055" s="5"/>
      <c r="G1055" s="5"/>
      <c r="H1055" s="5"/>
      <c r="I1055" s="5"/>
      <c r="J1055" s="5"/>
      <c r="K1055" s="92"/>
      <c r="L1055" s="13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</row>
    <row r="1056">
      <c r="A1056" s="129"/>
      <c r="B1056" s="5"/>
      <c r="C1056" s="5"/>
      <c r="D1056" s="5"/>
      <c r="E1056" s="5"/>
      <c r="F1056" s="5"/>
      <c r="G1056" s="5"/>
      <c r="H1056" s="5"/>
      <c r="I1056" s="5"/>
      <c r="J1056" s="5"/>
      <c r="K1056" s="92"/>
      <c r="L1056" s="13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</row>
    <row r="1057">
      <c r="A1057" s="129"/>
      <c r="B1057" s="5"/>
      <c r="C1057" s="5"/>
      <c r="D1057" s="5"/>
      <c r="E1057" s="5"/>
      <c r="F1057" s="5"/>
      <c r="G1057" s="5"/>
      <c r="H1057" s="5"/>
      <c r="I1057" s="5"/>
      <c r="J1057" s="5"/>
      <c r="K1057" s="92"/>
      <c r="L1057" s="13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</row>
    <row r="1058">
      <c r="A1058" s="129"/>
      <c r="B1058" s="5"/>
      <c r="C1058" s="5"/>
      <c r="D1058" s="5"/>
      <c r="E1058" s="5"/>
      <c r="F1058" s="5"/>
      <c r="G1058" s="5"/>
      <c r="H1058" s="5"/>
      <c r="I1058" s="5"/>
      <c r="J1058" s="5"/>
      <c r="K1058" s="92"/>
      <c r="L1058" s="13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</row>
    <row r="1059">
      <c r="A1059" s="129"/>
      <c r="B1059" s="5"/>
      <c r="C1059" s="5"/>
      <c r="D1059" s="5"/>
      <c r="E1059" s="5"/>
      <c r="F1059" s="5"/>
      <c r="G1059" s="5"/>
      <c r="H1059" s="5"/>
      <c r="I1059" s="5"/>
      <c r="J1059" s="5"/>
      <c r="K1059" s="92"/>
      <c r="L1059" s="13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</row>
    <row r="1060">
      <c r="A1060" s="129"/>
      <c r="B1060" s="5"/>
      <c r="C1060" s="5"/>
      <c r="D1060" s="5"/>
      <c r="E1060" s="5"/>
      <c r="F1060" s="5"/>
      <c r="G1060" s="5"/>
      <c r="H1060" s="5"/>
      <c r="I1060" s="5"/>
      <c r="J1060" s="5"/>
      <c r="K1060" s="92"/>
      <c r="L1060" s="13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</row>
    <row r="1061">
      <c r="A1061" s="129"/>
      <c r="B1061" s="5"/>
      <c r="C1061" s="5"/>
      <c r="D1061" s="5"/>
      <c r="E1061" s="5"/>
      <c r="F1061" s="5"/>
      <c r="G1061" s="5"/>
      <c r="H1061" s="5"/>
      <c r="I1061" s="5"/>
      <c r="J1061" s="5"/>
      <c r="K1061" s="92"/>
      <c r="L1061" s="13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</row>
    <row r="1062">
      <c r="A1062" s="129"/>
      <c r="B1062" s="5"/>
      <c r="C1062" s="5"/>
      <c r="D1062" s="5"/>
      <c r="E1062" s="5"/>
      <c r="F1062" s="5"/>
      <c r="G1062" s="5"/>
      <c r="H1062" s="5"/>
      <c r="I1062" s="5"/>
      <c r="J1062" s="5"/>
      <c r="K1062" s="92"/>
      <c r="L1062" s="13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</row>
    <row r="1063">
      <c r="A1063" s="129"/>
      <c r="B1063" s="5"/>
      <c r="C1063" s="5"/>
      <c r="D1063" s="5"/>
      <c r="E1063" s="5"/>
      <c r="F1063" s="5"/>
      <c r="G1063" s="5"/>
      <c r="H1063" s="5"/>
      <c r="I1063" s="5"/>
      <c r="J1063" s="5"/>
      <c r="K1063" s="92"/>
      <c r="L1063" s="13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</row>
    <row r="1064">
      <c r="A1064" s="129"/>
      <c r="B1064" s="5"/>
      <c r="C1064" s="5"/>
      <c r="D1064" s="5"/>
      <c r="E1064" s="5"/>
      <c r="F1064" s="5"/>
      <c r="G1064" s="5"/>
      <c r="H1064" s="5"/>
      <c r="I1064" s="5"/>
      <c r="J1064" s="5"/>
      <c r="K1064" s="92"/>
      <c r="L1064" s="13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</row>
    <row r="1065">
      <c r="A1065" s="129"/>
      <c r="B1065" s="5"/>
      <c r="C1065" s="5"/>
      <c r="D1065" s="5"/>
      <c r="E1065" s="5"/>
      <c r="F1065" s="5"/>
      <c r="G1065" s="5"/>
      <c r="H1065" s="5"/>
      <c r="I1065" s="5"/>
      <c r="J1065" s="5"/>
      <c r="K1065" s="92"/>
      <c r="L1065" s="13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</row>
    <row r="1066">
      <c r="A1066" s="129"/>
      <c r="B1066" s="5"/>
      <c r="C1066" s="5"/>
      <c r="D1066" s="5"/>
      <c r="E1066" s="5"/>
      <c r="F1066" s="5"/>
      <c r="G1066" s="5"/>
      <c r="H1066" s="5"/>
      <c r="I1066" s="5"/>
      <c r="J1066" s="5"/>
      <c r="K1066" s="92"/>
      <c r="L1066" s="13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</row>
    <row r="1067">
      <c r="A1067" s="129"/>
      <c r="B1067" s="5"/>
      <c r="C1067" s="5"/>
      <c r="D1067" s="5"/>
      <c r="E1067" s="5"/>
      <c r="F1067" s="5"/>
      <c r="G1067" s="5"/>
      <c r="H1067" s="5"/>
      <c r="I1067" s="5"/>
      <c r="J1067" s="5"/>
      <c r="K1067" s="92"/>
      <c r="L1067" s="13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</row>
    <row r="1068">
      <c r="A1068" s="129"/>
      <c r="B1068" s="5"/>
      <c r="C1068" s="5"/>
      <c r="D1068" s="5"/>
      <c r="E1068" s="5"/>
      <c r="F1068" s="5"/>
      <c r="G1068" s="5"/>
      <c r="H1068" s="5"/>
      <c r="I1068" s="5"/>
      <c r="J1068" s="5"/>
      <c r="K1068" s="92"/>
      <c r="L1068" s="13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</row>
    <row r="1069">
      <c r="A1069" s="129"/>
      <c r="B1069" s="5"/>
      <c r="C1069" s="5"/>
      <c r="D1069" s="5"/>
      <c r="E1069" s="5"/>
      <c r="F1069" s="5"/>
      <c r="G1069" s="5"/>
      <c r="H1069" s="5"/>
      <c r="I1069" s="5"/>
      <c r="J1069" s="5"/>
      <c r="K1069" s="92"/>
      <c r="L1069" s="13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</row>
    <row r="1070">
      <c r="A1070" s="129"/>
      <c r="B1070" s="5"/>
      <c r="C1070" s="5"/>
      <c r="D1070" s="5"/>
      <c r="E1070" s="5"/>
      <c r="F1070" s="5"/>
      <c r="G1070" s="5"/>
      <c r="H1070" s="5"/>
      <c r="I1070" s="5"/>
      <c r="J1070" s="5"/>
      <c r="K1070" s="92"/>
      <c r="L1070" s="13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</row>
    <row r="1071">
      <c r="A1071" s="129"/>
      <c r="B1071" s="5"/>
      <c r="C1071" s="5"/>
      <c r="D1071" s="5"/>
      <c r="E1071" s="5"/>
      <c r="F1071" s="5"/>
      <c r="G1071" s="5"/>
      <c r="H1071" s="5"/>
      <c r="I1071" s="5"/>
      <c r="J1071" s="5"/>
      <c r="K1071" s="92"/>
      <c r="L1071" s="13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</row>
    <row r="1072">
      <c r="A1072" s="129"/>
      <c r="B1072" s="5"/>
      <c r="C1072" s="5"/>
      <c r="D1072" s="5"/>
      <c r="E1072" s="5"/>
      <c r="F1072" s="5"/>
      <c r="G1072" s="5"/>
      <c r="H1072" s="5"/>
      <c r="I1072" s="5"/>
      <c r="J1072" s="5"/>
      <c r="K1072" s="92"/>
      <c r="L1072" s="13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</row>
    <row r="1073">
      <c r="A1073" s="129"/>
      <c r="B1073" s="5"/>
      <c r="C1073" s="5"/>
      <c r="D1073" s="5"/>
      <c r="E1073" s="5"/>
      <c r="F1073" s="5"/>
      <c r="G1073" s="5"/>
      <c r="H1073" s="5"/>
      <c r="I1073" s="5"/>
      <c r="J1073" s="5"/>
      <c r="K1073" s="92"/>
      <c r="L1073" s="13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</row>
    <row r="1074">
      <c r="A1074" s="129"/>
      <c r="B1074" s="5"/>
      <c r="C1074" s="5"/>
      <c r="D1074" s="5"/>
      <c r="E1074" s="5"/>
      <c r="F1074" s="5"/>
      <c r="G1074" s="5"/>
      <c r="H1074" s="5"/>
      <c r="I1074" s="5"/>
      <c r="J1074" s="5"/>
      <c r="K1074" s="92"/>
      <c r="L1074" s="13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</row>
    <row r="1075">
      <c r="A1075" s="129"/>
      <c r="B1075" s="5"/>
      <c r="C1075" s="5"/>
      <c r="D1075" s="5"/>
      <c r="E1075" s="5"/>
      <c r="F1075" s="5"/>
      <c r="G1075" s="5"/>
      <c r="H1075" s="5"/>
      <c r="I1075" s="5"/>
      <c r="J1075" s="5"/>
      <c r="K1075" s="92"/>
      <c r="L1075" s="13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</row>
    <row r="1076">
      <c r="A1076" s="129"/>
      <c r="B1076" s="5"/>
      <c r="C1076" s="5"/>
      <c r="D1076" s="5"/>
      <c r="E1076" s="5"/>
      <c r="F1076" s="5"/>
      <c r="G1076" s="5"/>
      <c r="H1076" s="5"/>
      <c r="I1076" s="5"/>
      <c r="J1076" s="5"/>
      <c r="K1076" s="92"/>
      <c r="L1076" s="13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</row>
    <row r="1077">
      <c r="A1077" s="129"/>
      <c r="B1077" s="5"/>
      <c r="C1077" s="5"/>
      <c r="D1077" s="5"/>
      <c r="E1077" s="5"/>
      <c r="F1077" s="5"/>
      <c r="G1077" s="5"/>
      <c r="H1077" s="5"/>
      <c r="I1077" s="5"/>
      <c r="J1077" s="5"/>
      <c r="K1077" s="92"/>
      <c r="L1077" s="13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</row>
    <row r="1078">
      <c r="A1078" s="129"/>
      <c r="B1078" s="5"/>
      <c r="C1078" s="5"/>
      <c r="D1078" s="5"/>
      <c r="E1078" s="5"/>
      <c r="F1078" s="5"/>
      <c r="G1078" s="5"/>
      <c r="H1078" s="5"/>
      <c r="I1078" s="5"/>
      <c r="J1078" s="5"/>
      <c r="K1078" s="92"/>
      <c r="L1078" s="13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</row>
    <row r="1079">
      <c r="A1079" s="129"/>
      <c r="B1079" s="5"/>
      <c r="C1079" s="5"/>
      <c r="D1079" s="5"/>
      <c r="E1079" s="5"/>
      <c r="F1079" s="5"/>
      <c r="G1079" s="5"/>
      <c r="H1079" s="5"/>
      <c r="I1079" s="5"/>
      <c r="J1079" s="5"/>
      <c r="K1079" s="92"/>
      <c r="L1079" s="13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</row>
    <row r="1080">
      <c r="A1080" s="129"/>
      <c r="B1080" s="5"/>
      <c r="C1080" s="5"/>
      <c r="D1080" s="5"/>
      <c r="E1080" s="5"/>
      <c r="F1080" s="5"/>
      <c r="G1080" s="5"/>
      <c r="H1080" s="5"/>
      <c r="I1080" s="5"/>
      <c r="J1080" s="5"/>
      <c r="K1080" s="92"/>
      <c r="L1080" s="13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</row>
    <row r="1081">
      <c r="A1081" s="129"/>
      <c r="B1081" s="5"/>
      <c r="C1081" s="5"/>
      <c r="D1081" s="5"/>
      <c r="E1081" s="5"/>
      <c r="F1081" s="5"/>
      <c r="G1081" s="5"/>
      <c r="H1081" s="5"/>
      <c r="I1081" s="5"/>
      <c r="J1081" s="5"/>
      <c r="K1081" s="92"/>
      <c r="L1081" s="13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</row>
    <row r="1082">
      <c r="A1082" s="129"/>
      <c r="B1082" s="5"/>
      <c r="C1082" s="5"/>
      <c r="D1082" s="5"/>
      <c r="E1082" s="5"/>
      <c r="F1082" s="5"/>
      <c r="G1082" s="5"/>
      <c r="H1082" s="5"/>
      <c r="I1082" s="5"/>
      <c r="J1082" s="5"/>
      <c r="K1082" s="92"/>
      <c r="L1082" s="13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</row>
    <row r="1083">
      <c r="A1083" s="129"/>
      <c r="B1083" s="5"/>
      <c r="C1083" s="5"/>
      <c r="D1083" s="5"/>
      <c r="E1083" s="5"/>
      <c r="F1083" s="5"/>
      <c r="G1083" s="5"/>
      <c r="H1083" s="5"/>
      <c r="I1083" s="5"/>
      <c r="J1083" s="5"/>
      <c r="K1083" s="92"/>
      <c r="L1083" s="13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</row>
    <row r="1084">
      <c r="A1084" s="129"/>
      <c r="B1084" s="5"/>
      <c r="C1084" s="5"/>
      <c r="D1084" s="5"/>
      <c r="E1084" s="5"/>
      <c r="F1084" s="5"/>
      <c r="G1084" s="5"/>
      <c r="H1084" s="5"/>
      <c r="I1084" s="5"/>
      <c r="J1084" s="5"/>
      <c r="K1084" s="92"/>
      <c r="L1084" s="13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</row>
    <row r="1085">
      <c r="A1085" s="129"/>
      <c r="B1085" s="5"/>
      <c r="C1085" s="5"/>
      <c r="D1085" s="5"/>
      <c r="E1085" s="5"/>
      <c r="F1085" s="5"/>
      <c r="G1085" s="5"/>
      <c r="H1085" s="5"/>
      <c r="I1085" s="5"/>
      <c r="J1085" s="5"/>
      <c r="K1085" s="92"/>
      <c r="L1085" s="13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</row>
    <row r="1086">
      <c r="A1086" s="129"/>
      <c r="B1086" s="5"/>
      <c r="C1086" s="5"/>
      <c r="D1086" s="5"/>
      <c r="E1086" s="5"/>
      <c r="F1086" s="5"/>
      <c r="G1086" s="5"/>
      <c r="H1086" s="5"/>
      <c r="I1086" s="5"/>
      <c r="J1086" s="5"/>
      <c r="K1086" s="92"/>
      <c r="L1086" s="13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</row>
    <row r="1087">
      <c r="A1087" s="129"/>
      <c r="B1087" s="5"/>
      <c r="C1087" s="5"/>
      <c r="D1087" s="5"/>
      <c r="E1087" s="5"/>
      <c r="F1087" s="5"/>
      <c r="G1087" s="5"/>
      <c r="H1087" s="5"/>
      <c r="I1087" s="5"/>
      <c r="J1087" s="5"/>
      <c r="K1087" s="92"/>
      <c r="L1087" s="13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</row>
    <row r="1088">
      <c r="A1088" s="129"/>
      <c r="B1088" s="5"/>
      <c r="C1088" s="5"/>
      <c r="D1088" s="5"/>
      <c r="E1088" s="5"/>
      <c r="F1088" s="5"/>
      <c r="G1088" s="5"/>
      <c r="H1088" s="5"/>
      <c r="I1088" s="5"/>
      <c r="J1088" s="5"/>
      <c r="K1088" s="92"/>
      <c r="L1088" s="13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</row>
    <row r="1089">
      <c r="A1089" s="129"/>
      <c r="B1089" s="5"/>
      <c r="C1089" s="5"/>
      <c r="D1089" s="5"/>
      <c r="E1089" s="5"/>
      <c r="F1089" s="5"/>
      <c r="G1089" s="5"/>
      <c r="H1089" s="5"/>
      <c r="I1089" s="5"/>
      <c r="J1089" s="5"/>
      <c r="K1089" s="92"/>
      <c r="L1089" s="13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</row>
    <row r="1090">
      <c r="A1090" s="129"/>
      <c r="B1090" s="5"/>
      <c r="C1090" s="5"/>
      <c r="D1090" s="5"/>
      <c r="E1090" s="5"/>
      <c r="F1090" s="5"/>
      <c r="G1090" s="5"/>
      <c r="H1090" s="5"/>
      <c r="I1090" s="5"/>
      <c r="J1090" s="5"/>
      <c r="K1090" s="92"/>
      <c r="L1090" s="13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</row>
    <row r="1091">
      <c r="A1091" s="129"/>
      <c r="B1091" s="5"/>
      <c r="C1091" s="5"/>
      <c r="D1091" s="5"/>
      <c r="E1091" s="5"/>
      <c r="F1091" s="5"/>
      <c r="G1091" s="5"/>
      <c r="H1091" s="5"/>
      <c r="I1091" s="5"/>
      <c r="J1091" s="5"/>
      <c r="K1091" s="92"/>
      <c r="L1091" s="13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</row>
    <row r="1092">
      <c r="A1092" s="129"/>
      <c r="B1092" s="5"/>
      <c r="C1092" s="5"/>
      <c r="D1092" s="5"/>
      <c r="E1092" s="5"/>
      <c r="F1092" s="5"/>
      <c r="G1092" s="5"/>
      <c r="H1092" s="5"/>
      <c r="I1092" s="5"/>
      <c r="J1092" s="5"/>
      <c r="K1092" s="92"/>
      <c r="L1092" s="13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</row>
    <row r="1093">
      <c r="A1093" s="129"/>
      <c r="B1093" s="5"/>
      <c r="C1093" s="5"/>
      <c r="D1093" s="5"/>
      <c r="E1093" s="5"/>
      <c r="F1093" s="5"/>
      <c r="G1093" s="5"/>
      <c r="H1093" s="5"/>
      <c r="I1093" s="5"/>
      <c r="J1093" s="5"/>
      <c r="K1093" s="92"/>
      <c r="L1093" s="13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</row>
    <row r="1094">
      <c r="A1094" s="129"/>
      <c r="B1094" s="5"/>
      <c r="C1094" s="5"/>
      <c r="D1094" s="5"/>
      <c r="E1094" s="5"/>
      <c r="F1094" s="5"/>
      <c r="G1094" s="5"/>
      <c r="H1094" s="5"/>
      <c r="I1094" s="5"/>
      <c r="J1094" s="5"/>
      <c r="K1094" s="92"/>
      <c r="L1094" s="13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</row>
    <row r="1095">
      <c r="A1095" s="129"/>
      <c r="B1095" s="5"/>
      <c r="C1095" s="5"/>
      <c r="D1095" s="5"/>
      <c r="E1095" s="5"/>
      <c r="F1095" s="5"/>
      <c r="G1095" s="5"/>
      <c r="H1095" s="5"/>
      <c r="I1095" s="5"/>
      <c r="J1095" s="5"/>
      <c r="K1095" s="92"/>
      <c r="L1095" s="13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</row>
    <row r="1096">
      <c r="A1096" s="129"/>
      <c r="B1096" s="5"/>
      <c r="C1096" s="5"/>
      <c r="D1096" s="5"/>
      <c r="E1096" s="5"/>
      <c r="F1096" s="5"/>
      <c r="G1096" s="5"/>
      <c r="H1096" s="5"/>
      <c r="I1096" s="5"/>
      <c r="J1096" s="5"/>
      <c r="K1096" s="92"/>
      <c r="L1096" s="13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</row>
    <row r="1097">
      <c r="A1097" s="129"/>
      <c r="B1097" s="5"/>
      <c r="C1097" s="5"/>
      <c r="D1097" s="5"/>
      <c r="E1097" s="5"/>
      <c r="F1097" s="5"/>
      <c r="G1097" s="5"/>
      <c r="H1097" s="5"/>
      <c r="I1097" s="5"/>
      <c r="J1097" s="5"/>
      <c r="K1097" s="92"/>
      <c r="L1097" s="13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</row>
    <row r="1098">
      <c r="A1098" s="129"/>
      <c r="B1098" s="5"/>
      <c r="C1098" s="5"/>
      <c r="D1098" s="5"/>
      <c r="E1098" s="5"/>
      <c r="F1098" s="5"/>
      <c r="G1098" s="5"/>
      <c r="H1098" s="5"/>
      <c r="I1098" s="5"/>
      <c r="J1098" s="5"/>
      <c r="K1098" s="92"/>
      <c r="L1098" s="13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</row>
    <row r="1099">
      <c r="A1099" s="129"/>
      <c r="B1099" s="5"/>
      <c r="C1099" s="5"/>
      <c r="D1099" s="5"/>
      <c r="E1099" s="5"/>
      <c r="F1099" s="5"/>
      <c r="G1099" s="5"/>
      <c r="H1099" s="5"/>
      <c r="I1099" s="5"/>
      <c r="J1099" s="5"/>
      <c r="K1099" s="92"/>
      <c r="L1099" s="13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</row>
    <row r="1100">
      <c r="A1100" s="129"/>
      <c r="B1100" s="5"/>
      <c r="C1100" s="5"/>
      <c r="D1100" s="5"/>
      <c r="E1100" s="5"/>
      <c r="F1100" s="5"/>
      <c r="G1100" s="5"/>
      <c r="H1100" s="5"/>
      <c r="I1100" s="5"/>
      <c r="J1100" s="5"/>
      <c r="K1100" s="92"/>
      <c r="L1100" s="13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</row>
    <row r="1101">
      <c r="A1101" s="129"/>
      <c r="B1101" s="5"/>
      <c r="C1101" s="5"/>
      <c r="D1101" s="5"/>
      <c r="E1101" s="5"/>
      <c r="F1101" s="5"/>
      <c r="G1101" s="5"/>
      <c r="H1101" s="5"/>
      <c r="I1101" s="5"/>
      <c r="J1101" s="5"/>
      <c r="K1101" s="92"/>
      <c r="L1101" s="13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</row>
    <row r="1102">
      <c r="A1102" s="129"/>
      <c r="B1102" s="5"/>
      <c r="C1102" s="5"/>
      <c r="D1102" s="5"/>
      <c r="E1102" s="5"/>
      <c r="F1102" s="5"/>
      <c r="G1102" s="5"/>
      <c r="H1102" s="5"/>
      <c r="I1102" s="5"/>
      <c r="J1102" s="5"/>
      <c r="K1102" s="92"/>
      <c r="L1102" s="13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</row>
    <row r="1103">
      <c r="A1103" s="129"/>
      <c r="B1103" s="5"/>
      <c r="C1103" s="5"/>
      <c r="D1103" s="5"/>
      <c r="E1103" s="5"/>
      <c r="F1103" s="5"/>
      <c r="G1103" s="5"/>
      <c r="H1103" s="5"/>
      <c r="I1103" s="5"/>
      <c r="J1103" s="5"/>
      <c r="K1103" s="92"/>
      <c r="L1103" s="13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</row>
    <row r="1104">
      <c r="A1104" s="129"/>
      <c r="B1104" s="5"/>
      <c r="C1104" s="5"/>
      <c r="D1104" s="5"/>
      <c r="E1104" s="5"/>
      <c r="F1104" s="5"/>
      <c r="G1104" s="5"/>
      <c r="H1104" s="5"/>
      <c r="I1104" s="5"/>
      <c r="J1104" s="5"/>
      <c r="K1104" s="92"/>
      <c r="L1104" s="13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</row>
    <row r="1105">
      <c r="A1105" s="129"/>
      <c r="B1105" s="5"/>
      <c r="C1105" s="5"/>
      <c r="D1105" s="5"/>
      <c r="E1105" s="5"/>
      <c r="F1105" s="5"/>
      <c r="G1105" s="5"/>
      <c r="H1105" s="5"/>
      <c r="I1105" s="5"/>
      <c r="J1105" s="5"/>
      <c r="K1105" s="92"/>
      <c r="L1105" s="13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</row>
    <row r="1106">
      <c r="A1106" s="129"/>
      <c r="B1106" s="5"/>
      <c r="C1106" s="5"/>
      <c r="D1106" s="5"/>
      <c r="E1106" s="5"/>
      <c r="F1106" s="5"/>
      <c r="G1106" s="5"/>
      <c r="H1106" s="5"/>
      <c r="I1106" s="5"/>
      <c r="J1106" s="5"/>
      <c r="K1106" s="92"/>
      <c r="L1106" s="13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</row>
    <row r="1107">
      <c r="A1107" s="129"/>
      <c r="B1107" s="5"/>
      <c r="C1107" s="5"/>
      <c r="D1107" s="5"/>
      <c r="E1107" s="5"/>
      <c r="F1107" s="5"/>
      <c r="G1107" s="5"/>
      <c r="H1107" s="5"/>
      <c r="I1107" s="5"/>
      <c r="J1107" s="5"/>
      <c r="K1107" s="92"/>
      <c r="L1107" s="13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</row>
    <row r="1108">
      <c r="A1108" s="129"/>
      <c r="B1108" s="5"/>
      <c r="C1108" s="5"/>
      <c r="D1108" s="5"/>
      <c r="E1108" s="5"/>
      <c r="F1108" s="5"/>
      <c r="G1108" s="5"/>
      <c r="H1108" s="5"/>
      <c r="I1108" s="5"/>
      <c r="J1108" s="5"/>
      <c r="K1108" s="92"/>
      <c r="L1108" s="13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</row>
    <row r="1109">
      <c r="A1109" s="129"/>
      <c r="B1109" s="5"/>
      <c r="C1109" s="5"/>
      <c r="D1109" s="5"/>
      <c r="E1109" s="5"/>
      <c r="F1109" s="5"/>
      <c r="G1109" s="5"/>
      <c r="H1109" s="5"/>
      <c r="I1109" s="5"/>
      <c r="J1109" s="5"/>
      <c r="K1109" s="92"/>
      <c r="L1109" s="13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</row>
    <row r="1110">
      <c r="A1110" s="129"/>
      <c r="B1110" s="5"/>
      <c r="C1110" s="5"/>
      <c r="D1110" s="5"/>
      <c r="E1110" s="5"/>
      <c r="F1110" s="5"/>
      <c r="G1110" s="5"/>
      <c r="H1110" s="5"/>
      <c r="I1110" s="5"/>
      <c r="J1110" s="5"/>
      <c r="K1110" s="92"/>
      <c r="L1110" s="13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</row>
    <row r="1111">
      <c r="A1111" s="129"/>
      <c r="B1111" s="5"/>
      <c r="C1111" s="5"/>
      <c r="D1111" s="5"/>
      <c r="E1111" s="5"/>
      <c r="F1111" s="5"/>
      <c r="G1111" s="5"/>
      <c r="H1111" s="5"/>
      <c r="I1111" s="5"/>
      <c r="J1111" s="5"/>
      <c r="K1111" s="92"/>
      <c r="L1111" s="13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</row>
    <row r="1112">
      <c r="A1112" s="129"/>
      <c r="B1112" s="5"/>
      <c r="C1112" s="5"/>
      <c r="D1112" s="5"/>
      <c r="E1112" s="5"/>
      <c r="F1112" s="5"/>
      <c r="G1112" s="5"/>
      <c r="H1112" s="5"/>
      <c r="I1112" s="5"/>
      <c r="J1112" s="5"/>
      <c r="K1112" s="92"/>
      <c r="L1112" s="13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</row>
    <row r="1113">
      <c r="A1113" s="129"/>
      <c r="B1113" s="5"/>
      <c r="C1113" s="5"/>
      <c r="D1113" s="5"/>
      <c r="E1113" s="5"/>
      <c r="F1113" s="5"/>
      <c r="G1113" s="5"/>
      <c r="H1113" s="5"/>
      <c r="I1113" s="5"/>
      <c r="J1113" s="5"/>
      <c r="K1113" s="92"/>
      <c r="L1113" s="13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</row>
    <row r="1114">
      <c r="A1114" s="129"/>
      <c r="B1114" s="5"/>
      <c r="C1114" s="5"/>
      <c r="D1114" s="5"/>
      <c r="E1114" s="5"/>
      <c r="F1114" s="5"/>
      <c r="G1114" s="5"/>
      <c r="H1114" s="5"/>
      <c r="I1114" s="5"/>
      <c r="J1114" s="5"/>
      <c r="K1114" s="92"/>
      <c r="L1114" s="13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</row>
    <row r="1115">
      <c r="A1115" s="129"/>
      <c r="B1115" s="5"/>
      <c r="C1115" s="5"/>
      <c r="D1115" s="5"/>
      <c r="E1115" s="5"/>
      <c r="F1115" s="5"/>
      <c r="G1115" s="5"/>
      <c r="H1115" s="5"/>
      <c r="I1115" s="5"/>
      <c r="J1115" s="5"/>
      <c r="K1115" s="92"/>
      <c r="L1115" s="13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</row>
    <row r="1116">
      <c r="A1116" s="129"/>
      <c r="B1116" s="5"/>
      <c r="C1116" s="5"/>
      <c r="D1116" s="5"/>
      <c r="E1116" s="5"/>
      <c r="F1116" s="5"/>
      <c r="G1116" s="5"/>
      <c r="H1116" s="5"/>
      <c r="I1116" s="5"/>
      <c r="J1116" s="5"/>
      <c r="K1116" s="92"/>
      <c r="L1116" s="13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</row>
  </sheetData>
  <mergeCells count="304">
    <mergeCell ref="K229:K230"/>
    <mergeCell ref="K232:K233"/>
    <mergeCell ref="L232:L233"/>
    <mergeCell ref="K235:K236"/>
    <mergeCell ref="L235:L236"/>
    <mergeCell ref="E237:L237"/>
    <mergeCell ref="B239:L239"/>
    <mergeCell ref="K222:K223"/>
    <mergeCell ref="L222:L223"/>
    <mergeCell ref="K224:K225"/>
    <mergeCell ref="L224:L225"/>
    <mergeCell ref="K227:K228"/>
    <mergeCell ref="L227:L228"/>
    <mergeCell ref="L229:L230"/>
    <mergeCell ref="K251:K252"/>
    <mergeCell ref="L251:L252"/>
    <mergeCell ref="K254:K255"/>
    <mergeCell ref="L254:L255"/>
    <mergeCell ref="E256:L256"/>
    <mergeCell ref="B258:L258"/>
    <mergeCell ref="K241:K242"/>
    <mergeCell ref="L241:L242"/>
    <mergeCell ref="K243:K244"/>
    <mergeCell ref="L243:L244"/>
    <mergeCell ref="K246:K247"/>
    <mergeCell ref="K248:K249"/>
    <mergeCell ref="L248:L249"/>
    <mergeCell ref="K270:K271"/>
    <mergeCell ref="L270:L271"/>
    <mergeCell ref="K273:K274"/>
    <mergeCell ref="L273:L274"/>
    <mergeCell ref="E275:L275"/>
    <mergeCell ref="B277:L277"/>
    <mergeCell ref="K260:K261"/>
    <mergeCell ref="L260:L261"/>
    <mergeCell ref="K262:K263"/>
    <mergeCell ref="L262:L263"/>
    <mergeCell ref="K265:K266"/>
    <mergeCell ref="K267:K268"/>
    <mergeCell ref="L267:L268"/>
    <mergeCell ref="E383:L383"/>
    <mergeCell ref="B386:L386"/>
    <mergeCell ref="K279:K280"/>
    <mergeCell ref="L279:L280"/>
    <mergeCell ref="K281:K282"/>
    <mergeCell ref="L281:L282"/>
    <mergeCell ref="K284:K285"/>
    <mergeCell ref="K286:K287"/>
    <mergeCell ref="L286:L287"/>
    <mergeCell ref="K298:K299"/>
    <mergeCell ref="L298:L299"/>
    <mergeCell ref="K300:K301"/>
    <mergeCell ref="L300:L301"/>
    <mergeCell ref="K302:K303"/>
    <mergeCell ref="L302:L303"/>
    <mergeCell ref="L304:L305"/>
    <mergeCell ref="K304:K305"/>
    <mergeCell ref="K309:K310"/>
    <mergeCell ref="L309:L310"/>
    <mergeCell ref="K316:K317"/>
    <mergeCell ref="L316:L317"/>
    <mergeCell ref="K318:K319"/>
    <mergeCell ref="L318:L319"/>
    <mergeCell ref="K320:K321"/>
    <mergeCell ref="L320:L321"/>
    <mergeCell ref="K322:K323"/>
    <mergeCell ref="L322:L323"/>
    <mergeCell ref="K327:K328"/>
    <mergeCell ref="L327:L328"/>
    <mergeCell ref="L334:L335"/>
    <mergeCell ref="L358:L359"/>
    <mergeCell ref="L363:L364"/>
    <mergeCell ref="L370:L371"/>
    <mergeCell ref="L372:L373"/>
    <mergeCell ref="L374:L375"/>
    <mergeCell ref="L376:L377"/>
    <mergeCell ref="L381:L382"/>
    <mergeCell ref="L388:L389"/>
    <mergeCell ref="L336:L337"/>
    <mergeCell ref="L338:L339"/>
    <mergeCell ref="L340:L341"/>
    <mergeCell ref="L345:L346"/>
    <mergeCell ref="L352:L353"/>
    <mergeCell ref="L354:L355"/>
    <mergeCell ref="L356:L357"/>
    <mergeCell ref="K381:K382"/>
    <mergeCell ref="K388:K389"/>
    <mergeCell ref="K84:K85"/>
    <mergeCell ref="L84:L85"/>
    <mergeCell ref="E88:L88"/>
    <mergeCell ref="B91:L91"/>
    <mergeCell ref="K95:K96"/>
    <mergeCell ref="L95:L96"/>
    <mergeCell ref="K102:K103"/>
    <mergeCell ref="L102:L103"/>
    <mergeCell ref="E106:L106"/>
    <mergeCell ref="B109:L109"/>
    <mergeCell ref="K113:K114"/>
    <mergeCell ref="L113:L114"/>
    <mergeCell ref="K120:K121"/>
    <mergeCell ref="L120:L121"/>
    <mergeCell ref="K138:K139"/>
    <mergeCell ref="K147:K148"/>
    <mergeCell ref="L147:L148"/>
    <mergeCell ref="E124:L124"/>
    <mergeCell ref="B127:L127"/>
    <mergeCell ref="K131:K132"/>
    <mergeCell ref="L131:L132"/>
    <mergeCell ref="L138:L139"/>
    <mergeCell ref="E142:L142"/>
    <mergeCell ref="B145:L145"/>
    <mergeCell ref="B2:L2"/>
    <mergeCell ref="K6:K7"/>
    <mergeCell ref="L6:L7"/>
    <mergeCell ref="L13:L14"/>
    <mergeCell ref="B17:C17"/>
    <mergeCell ref="E17:L17"/>
    <mergeCell ref="B19:L19"/>
    <mergeCell ref="K13:K14"/>
    <mergeCell ref="K23:K24"/>
    <mergeCell ref="L23:L24"/>
    <mergeCell ref="K30:K31"/>
    <mergeCell ref="L30:L31"/>
    <mergeCell ref="E34:L34"/>
    <mergeCell ref="B37:L37"/>
    <mergeCell ref="K41:K42"/>
    <mergeCell ref="L41:L42"/>
    <mergeCell ref="K48:K49"/>
    <mergeCell ref="L48:L49"/>
    <mergeCell ref="E52:L52"/>
    <mergeCell ref="B55:L55"/>
    <mergeCell ref="L59:L60"/>
    <mergeCell ref="K59:K60"/>
    <mergeCell ref="K66:K67"/>
    <mergeCell ref="L66:L67"/>
    <mergeCell ref="E70:L70"/>
    <mergeCell ref="B73:L73"/>
    <mergeCell ref="K77:K78"/>
    <mergeCell ref="L77:L78"/>
    <mergeCell ref="A2:A16"/>
    <mergeCell ref="A19:A34"/>
    <mergeCell ref="B34:C34"/>
    <mergeCell ref="A37:A52"/>
    <mergeCell ref="B52:C52"/>
    <mergeCell ref="A55:A70"/>
    <mergeCell ref="B70:C70"/>
    <mergeCell ref="A73:A88"/>
    <mergeCell ref="B88:C88"/>
    <mergeCell ref="A91:A106"/>
    <mergeCell ref="B106:C106"/>
    <mergeCell ref="A109:A124"/>
    <mergeCell ref="B124:C124"/>
    <mergeCell ref="B142:C142"/>
    <mergeCell ref="K154:K155"/>
    <mergeCell ref="K157:K158"/>
    <mergeCell ref="K160:K161"/>
    <mergeCell ref="L160:L161"/>
    <mergeCell ref="A145:A160"/>
    <mergeCell ref="B162:C162"/>
    <mergeCell ref="A164:A179"/>
    <mergeCell ref="B181:C181"/>
    <mergeCell ref="A183:A198"/>
    <mergeCell ref="B200:C200"/>
    <mergeCell ref="B218:C218"/>
    <mergeCell ref="A332:A347"/>
    <mergeCell ref="A350:A365"/>
    <mergeCell ref="A368:A383"/>
    <mergeCell ref="A386:A401"/>
    <mergeCell ref="A404:A419"/>
    <mergeCell ref="A422:A428"/>
    <mergeCell ref="A431:A437"/>
    <mergeCell ref="A440:A446"/>
    <mergeCell ref="A201:A216"/>
    <mergeCell ref="A220:A235"/>
    <mergeCell ref="A239:A254"/>
    <mergeCell ref="A258:A273"/>
    <mergeCell ref="A277:A293"/>
    <mergeCell ref="A296:A311"/>
    <mergeCell ref="A314:A329"/>
    <mergeCell ref="B365:C365"/>
    <mergeCell ref="B383:C383"/>
    <mergeCell ref="B401:C401"/>
    <mergeCell ref="B419:C419"/>
    <mergeCell ref="B428:C428"/>
    <mergeCell ref="B437:C437"/>
    <mergeCell ref="B446:C446"/>
    <mergeCell ref="B237:C237"/>
    <mergeCell ref="B256:C256"/>
    <mergeCell ref="B275:C275"/>
    <mergeCell ref="B294:C294"/>
    <mergeCell ref="B311:C311"/>
    <mergeCell ref="B329:C329"/>
    <mergeCell ref="B347:C347"/>
    <mergeCell ref="A127:A142"/>
    <mergeCell ref="K149:K150"/>
    <mergeCell ref="L149:L150"/>
    <mergeCell ref="K152:K153"/>
    <mergeCell ref="L152:L153"/>
    <mergeCell ref="L154:L155"/>
    <mergeCell ref="L157:L158"/>
    <mergeCell ref="E162:L162"/>
    <mergeCell ref="B164:L164"/>
    <mergeCell ref="K166:K167"/>
    <mergeCell ref="L166:L167"/>
    <mergeCell ref="K168:K169"/>
    <mergeCell ref="L168:L169"/>
    <mergeCell ref="K171:K172"/>
    <mergeCell ref="K173:K174"/>
    <mergeCell ref="L173:L174"/>
    <mergeCell ref="K176:K177"/>
    <mergeCell ref="L176:L177"/>
    <mergeCell ref="L179:L180"/>
    <mergeCell ref="E181:L181"/>
    <mergeCell ref="B183:L183"/>
    <mergeCell ref="K192:K193"/>
    <mergeCell ref="L192:L193"/>
    <mergeCell ref="K195:K196"/>
    <mergeCell ref="L195:L196"/>
    <mergeCell ref="K198:K199"/>
    <mergeCell ref="L198:L199"/>
    <mergeCell ref="E200:L200"/>
    <mergeCell ref="B201:L201"/>
    <mergeCell ref="K179:K180"/>
    <mergeCell ref="K185:K186"/>
    <mergeCell ref="L185:L186"/>
    <mergeCell ref="K187:K188"/>
    <mergeCell ref="L187:L188"/>
    <mergeCell ref="K190:K191"/>
    <mergeCell ref="L190:L191"/>
    <mergeCell ref="K210:K211"/>
    <mergeCell ref="K213:K214"/>
    <mergeCell ref="L213:L214"/>
    <mergeCell ref="K216:K217"/>
    <mergeCell ref="L216:L217"/>
    <mergeCell ref="E218:L218"/>
    <mergeCell ref="B220:L220"/>
    <mergeCell ref="K203:K204"/>
    <mergeCell ref="L203:L204"/>
    <mergeCell ref="K205:K206"/>
    <mergeCell ref="L205:L206"/>
    <mergeCell ref="K208:K209"/>
    <mergeCell ref="L208:L209"/>
    <mergeCell ref="L210:L211"/>
    <mergeCell ref="K289:K290"/>
    <mergeCell ref="L289:L290"/>
    <mergeCell ref="K292:K293"/>
    <mergeCell ref="L292:L293"/>
    <mergeCell ref="E294:L294"/>
    <mergeCell ref="B296:L296"/>
    <mergeCell ref="B314:L314"/>
    <mergeCell ref="E311:L311"/>
    <mergeCell ref="E329:L329"/>
    <mergeCell ref="B332:L332"/>
    <mergeCell ref="E347:L347"/>
    <mergeCell ref="B350:L350"/>
    <mergeCell ref="E365:L365"/>
    <mergeCell ref="B368:L368"/>
    <mergeCell ref="B440:L440"/>
    <mergeCell ref="E446:L446"/>
    <mergeCell ref="E401:L401"/>
    <mergeCell ref="B404:L404"/>
    <mergeCell ref="E419:L419"/>
    <mergeCell ref="B422:L422"/>
    <mergeCell ref="E428:L428"/>
    <mergeCell ref="B431:L431"/>
    <mergeCell ref="E437:L437"/>
    <mergeCell ref="K334:K335"/>
    <mergeCell ref="K336:K337"/>
    <mergeCell ref="K338:K339"/>
    <mergeCell ref="K340:K341"/>
    <mergeCell ref="K345:K346"/>
    <mergeCell ref="K352:K353"/>
    <mergeCell ref="K354:K355"/>
    <mergeCell ref="K356:K357"/>
    <mergeCell ref="K358:K359"/>
    <mergeCell ref="K363:K364"/>
    <mergeCell ref="K370:K371"/>
    <mergeCell ref="K372:K373"/>
    <mergeCell ref="K374:K375"/>
    <mergeCell ref="K376:K377"/>
    <mergeCell ref="K390:K391"/>
    <mergeCell ref="L390:L391"/>
    <mergeCell ref="K392:K393"/>
    <mergeCell ref="L392:L393"/>
    <mergeCell ref="K394:K395"/>
    <mergeCell ref="L394:L395"/>
    <mergeCell ref="L399:L400"/>
    <mergeCell ref="K399:K400"/>
    <mergeCell ref="K406:K407"/>
    <mergeCell ref="L406:L407"/>
    <mergeCell ref="K408:K409"/>
    <mergeCell ref="L408:L409"/>
    <mergeCell ref="K410:K411"/>
    <mergeCell ref="L410:L411"/>
    <mergeCell ref="K435:K436"/>
    <mergeCell ref="K444:K445"/>
    <mergeCell ref="L444:L445"/>
    <mergeCell ref="K412:K413"/>
    <mergeCell ref="L412:L413"/>
    <mergeCell ref="K417:K418"/>
    <mergeCell ref="L417:L418"/>
    <mergeCell ref="K426:K427"/>
    <mergeCell ref="L426:L427"/>
    <mergeCell ref="L435:L436"/>
  </mergeCells>
  <drawing r:id="rId1"/>
</worksheet>
</file>